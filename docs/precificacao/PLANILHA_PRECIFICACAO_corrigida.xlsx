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Parâmetros" sheetId="2" state="visible" r:id="rId2"/>
    <sheet xmlns:r="http://schemas.openxmlformats.org/officeDocument/2006/relationships" name="Materiais" sheetId="3" state="visible" r:id="rId3"/>
    <sheet xmlns:r="http://schemas.openxmlformats.org/officeDocument/2006/relationships" name="Itens" sheetId="4" state="visible" r:id="rId4"/>
    <sheet xmlns:r="http://schemas.openxmlformats.org/officeDocument/2006/relationships" name="Procedimentos" sheetId="5" state="visible" r:id="rId5"/>
  </sheets>
  <definedNames/>
  <calcPr calcId="124519" fullCalcOnLoad="1"/>
</workbook>
</file>

<file path=xl/styles.xml><?xml version="1.0" encoding="utf-8"?>
<styleSheet xmlns="http://schemas.openxmlformats.org/spreadsheetml/2006/main">
  <numFmts count="2">
    <numFmt numFmtId="164" formatCode="R$ #,##0.00;[Red]-R$ #,##0.00;-"/>
    <numFmt numFmtId="165" formatCode="R$ #,##0.0000"/>
  </numFmts>
  <fonts count="9">
    <font>
      <name val="Calibri"/>
      <family val="2"/>
      <color theme="1"/>
      <sz val="11"/>
      <scheme val="minor"/>
    </font>
    <font>
      <name val="Arial"/>
      <b val="1"/>
      <sz val="14"/>
    </font>
    <font>
      <name val="Arial"/>
    </font>
    <font>
      <name val="Arial"/>
      <b val="1"/>
    </font>
    <font>
      <name val="Arial"/>
      <b val="1"/>
      <color rgb="00FFFFFF"/>
    </font>
    <font>
      <name val="Arial"/>
      <color rgb="000000FF"/>
    </font>
    <font>
      <name val="Arial"/>
      <i val="1"/>
      <color rgb="00666666"/>
    </font>
    <font>
      <name val="Arial"/>
      <i val="1"/>
    </font>
    <font>
      <name val="Arial"/>
      <color theme="1"/>
      <sz val="11"/>
    </font>
  </fonts>
  <fills count="4">
    <fill>
      <patternFill/>
    </fill>
    <fill>
      <patternFill patternType="gray125"/>
    </fill>
    <fill>
      <patternFill patternType="solid">
        <fgColor rgb="000E8C86"/>
      </patternFill>
    </fill>
    <fill>
      <patternFill patternType="solid">
        <fgColor rgb="00FFFF9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1" fillId="0" borderId="0" pivotButton="0" quotePrefix="0" xfId="0"/>
    <xf numFmtId="0" fontId="8" fillId="0" borderId="0" pivotButton="0" quotePrefix="0" xfId="0"/>
    <xf numFmtId="0" fontId="4" fillId="2" borderId="1" applyAlignment="1" pivotButton="0" quotePrefix="0" xfId="0">
      <alignment vertical="center" wrapText="1"/>
    </xf>
    <xf numFmtId="0" fontId="5" fillId="3" borderId="1" pivotButton="0" quotePrefix="0" xfId="0"/>
    <xf numFmtId="164" fontId="5" fillId="3" borderId="1" pivotButton="0" quotePrefix="0" xfId="0"/>
    <xf numFmtId="0" fontId="3" fillId="0" borderId="0" pivotButton="0" quotePrefix="0" xfId="0"/>
    <xf numFmtId="0" fontId="2" fillId="0" borderId="0" pivotButton="0" quotePrefix="0" xfId="0"/>
    <xf numFmtId="164" fontId="3" fillId="0" borderId="1" pivotButton="0" quotePrefix="0" xfId="0"/>
    <xf numFmtId="0" fontId="6" fillId="0" borderId="0" pivotButton="0" quotePrefix="0" xfId="0"/>
    <xf numFmtId="10" fontId="5" fillId="3" borderId="1" pivotButton="0" quotePrefix="0" xfId="0"/>
    <xf numFmtId="0" fontId="3" fillId="0" borderId="1" pivotButton="0" quotePrefix="0" xfId="0"/>
    <xf numFmtId="10" fontId="3" fillId="0" borderId="1" pivotButton="0" quotePrefix="0" xfId="0"/>
    <xf numFmtId="165" fontId="2" fillId="0" borderId="1" pivotButton="0" quotePrefix="0" xfId="0"/>
    <xf numFmtId="0" fontId="7" fillId="0" borderId="0" pivotButton="0" quotePrefix="0" xfId="0"/>
    <xf numFmtId="164" fontId="2" fillId="0" borderId="1" pivotButton="0" quotePrefix="0" xfId="0"/>
    <xf numFmtId="10" fontId="2"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0" customWidth="1" min="1" max="1"/>
  </cols>
  <sheetData>
    <row r="1">
      <c r="A1" s="1" t="inlineStr">
        <is>
          <t>Planilha de precificação – versão corrigida (mesmas fórmulas do sistema)</t>
        </is>
      </c>
    </row>
    <row r="2">
      <c r="A2" s="2" t="inlineStr"/>
    </row>
    <row r="3">
      <c r="A3" s="3" t="inlineStr">
        <is>
          <t>O que estava errado nas planilhas anteriores</t>
        </is>
      </c>
    </row>
    <row r="4">
      <c r="A4" s="2" t="inlineStr">
        <is>
          <t>• Lucro, IR e cartão eram somados "por fora" do custo: lucro de 30% virava ~20% do preço e o IR de 15% virava ~13%.</t>
        </is>
      </c>
    </row>
    <row r="5">
      <c r="A5" s="2" t="inlineStr">
        <is>
          <t xml:space="preserve">  Agora todos os percentuais incidem sobre o PREÇO: preço = custo direto ÷ (1 − cartão − comissão − taxas − IR − lucro).</t>
        </is>
      </c>
    </row>
    <row r="6">
      <c r="A6" s="2" t="inlineStr">
        <is>
          <t>• A comissão de 7% nunca era calculada (coluna vazia) e na aba HOF virava R$ 50/hora. O cartão só existia em 3 abas.</t>
        </is>
      </c>
    </row>
    <row r="7">
      <c r="A7" s="2" t="inlineStr">
        <is>
          <t>• Cabeçalhos diziam "lucro 20%" com fórmula de 30%; havia células #REF!; implantes com material R$ 7 e sem horas.</t>
        </is>
      </c>
    </row>
    <row r="8">
      <c r="A8" s="2" t="inlineStr">
        <is>
          <t>• O custo da estrutura por hora assumia 100% de ocupação (R$ 30,36/h). Com a ocupação como parâmetro (65%) dá R$ 46,71/h.</t>
        </is>
      </c>
    </row>
    <row r="9">
      <c r="A9" s="2" t="inlineStr">
        <is>
          <t>• Materiais eram só listas de nomes. Agora cada material tem preço da embalagem, rendimento e perda; o custo entra pela quantidade usada.</t>
        </is>
      </c>
    </row>
    <row r="10">
      <c r="A10" s="2" t="inlineStr"/>
    </row>
    <row r="11">
      <c r="A11" s="3" t="inlineStr">
        <is>
          <t>Como usar</t>
        </is>
      </c>
    </row>
    <row r="12">
      <c r="A12" s="2" t="inlineStr">
        <is>
          <t>1) Aba Parâmetros: despesas (o custo mensal sai sozinho), salas/horas/ocupação, hora clínica, cartão, comissão, lucro, regime de IR e taxas adicionais.</t>
        </is>
      </c>
    </row>
    <row r="13">
      <c r="A13" s="2" t="inlineStr">
        <is>
          <t>2) Aba Materiais: preço da embalagem, rendimento (quantas unidades de uso) e % de perda → custo por unidade de uso.</t>
        </is>
      </c>
    </row>
    <row r="14">
      <c r="A14" s="2" t="inlineStr">
        <is>
          <t>3) Aba Itens: materiais e quantidades de cada procedimento (o nome do procedimento tem que ser igual ao da aba Procedimentos).</t>
        </is>
      </c>
    </row>
    <row r="15">
      <c r="A15" s="2" t="inlineStr">
        <is>
          <t>4) Aba Procedimentos: tempo, laboratório, "outros materiais" (valor informado), valor cobrado hoje. O preço é calculado.</t>
        </is>
      </c>
    </row>
    <row r="16">
      <c r="A16" s="2" t="inlineStr"/>
    </row>
    <row r="17">
      <c r="A17" s="3" t="inlineStr">
        <is>
          <t>Fórmulas</t>
        </is>
      </c>
    </row>
    <row r="18">
      <c r="A18" s="2" t="inlineStr">
        <is>
          <t>Custo mensal = fixas + variáveis + eventuais anuais ÷ 12 + publicidade</t>
        </is>
      </c>
    </row>
    <row r="19">
      <c r="A19" s="2" t="inlineStr">
        <is>
          <t>Estrutura/hora = custo mensal ÷ (salas × horas/semana × semanas/mês × ocupação)</t>
        </is>
      </c>
    </row>
    <row r="20">
      <c r="A20" s="2" t="inlineStr">
        <is>
          <t>Custo direto = materiais + outros materiais + laboratório + minutos/60 × estrutura/hora + minutos/60 × hora clínica</t>
        </is>
      </c>
    </row>
    <row r="21">
      <c r="A21" s="2" t="inlineStr">
        <is>
          <t>Preço PJ (tributos sobre o faturamento) = custo direto ÷ (1 − cartão − comissão − taxas − IR PJ − lucro)</t>
        </is>
      </c>
    </row>
    <row r="22">
      <c r="A22" s="2" t="inlineStr">
        <is>
          <t>Preço PF (IR sobre o lucro, carnê-leão) = (1 − IR PF) × custo direto ÷ ((1 − IR PF) × (1 − cartão − comissão − taxas) − lucro)</t>
        </is>
      </c>
    </row>
    <row r="23">
      <c r="A23" s="2" t="inlineStr">
        <is>
          <t>Preço mínimo = mesma fórmula com lucro zero. Se os percentuais somarem 100% ou mais, não existe preço (ERRO).</t>
        </is>
      </c>
    </row>
    <row r="24">
      <c r="A24" s="2" t="inlineStr"/>
    </row>
    <row r="25">
      <c r="A25" s="2" t="inlineStr">
        <is>
          <t>Cores: azul com fundo amarelo = você preenche; preto = fórmula (não editar). Valores de materiais são exemplos fictícios.</t>
        </is>
      </c>
    </row>
    <row r="26">
      <c r="A26" s="2" t="inlineStr">
        <is>
          <t>Fonte: planilhas da clínica (despesas e procedimentos) e modelo de precificação; percentuais de IR são sugestões, valide com o contador.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cols>
    <col width="44" customWidth="1" min="1" max="1"/>
    <col width="20" customWidth="1" min="2" max="2"/>
    <col width="16" customWidth="1" min="3" max="3"/>
    <col width="12" customWidth="1" min="4" max="4"/>
    <col width="60" customWidth="1" min="5" max="5"/>
  </cols>
  <sheetData>
    <row r="1">
      <c r="A1" s="4" t="inlineStr">
        <is>
          <t>Parâmetros da clínica</t>
        </is>
      </c>
      <c r="B1" s="5" t="n"/>
      <c r="C1" s="5" t="n"/>
      <c r="D1" s="5" t="n"/>
      <c r="E1" s="5" t="n"/>
    </row>
    <row r="2">
      <c r="A2" s="5" t="n"/>
      <c r="B2" s="5" t="n"/>
      <c r="C2" s="5" t="n"/>
      <c r="D2" s="5" t="n"/>
      <c r="E2" s="5" t="n"/>
    </row>
    <row r="3" ht="32" customHeight="1">
      <c r="A3" s="6" t="inlineStr">
        <is>
          <t>Despesa</t>
        </is>
      </c>
      <c r="B3" s="6" t="inlineStr">
        <is>
          <t>Tipo</t>
        </is>
      </c>
      <c r="C3" s="6" t="inlineStr">
        <is>
          <t>Valor (R$)</t>
        </is>
      </c>
      <c r="D3" s="5" t="n"/>
      <c r="E3" s="5" t="n"/>
    </row>
    <row r="4">
      <c r="A4" s="7" t="inlineStr">
        <is>
          <t>Telefone e internet</t>
        </is>
      </c>
      <c r="B4" s="7" t="inlineStr">
        <is>
          <t>Fixa mensal</t>
        </is>
      </c>
      <c r="C4" s="8" t="n">
        <v>149.9</v>
      </c>
      <c r="D4" s="5" t="n"/>
      <c r="E4" s="5" t="n"/>
    </row>
    <row r="5">
      <c r="A5" s="7" t="inlineStr">
        <is>
          <t>Salário recepção</t>
        </is>
      </c>
      <c r="B5" s="7" t="inlineStr">
        <is>
          <t>Fixa mensal</t>
        </is>
      </c>
      <c r="C5" s="8" t="n">
        <v>2500</v>
      </c>
      <c r="D5" s="5" t="n"/>
      <c r="E5" s="5" t="n"/>
    </row>
    <row r="6">
      <c r="A6" s="7" t="inlineStr">
        <is>
          <t>FGTS</t>
        </is>
      </c>
      <c r="B6" s="7" t="inlineStr">
        <is>
          <t>Fixa mensal</t>
        </is>
      </c>
      <c r="C6" s="8" t="n">
        <v>179</v>
      </c>
      <c r="D6" s="5" t="n"/>
      <c r="E6" s="5" t="n"/>
    </row>
    <row r="7">
      <c r="A7" s="7" t="inlineStr">
        <is>
          <t>Sanepar</t>
        </is>
      </c>
      <c r="B7" s="7" t="inlineStr">
        <is>
          <t>Fixa mensal</t>
        </is>
      </c>
      <c r="C7" s="8" t="n">
        <v>170</v>
      </c>
      <c r="D7" s="5" t="n"/>
      <c r="E7" s="5" t="n"/>
    </row>
    <row r="8">
      <c r="A8" s="7" t="inlineStr">
        <is>
          <t>Copel</t>
        </is>
      </c>
      <c r="B8" s="7" t="inlineStr">
        <is>
          <t>Fixa mensal</t>
        </is>
      </c>
      <c r="C8" s="8" t="n">
        <v>700</v>
      </c>
      <c r="D8" s="5" t="n"/>
      <c r="E8" s="5" t="n"/>
    </row>
    <row r="9">
      <c r="A9" s="7" t="inlineStr">
        <is>
          <t>BioAccess</t>
        </is>
      </c>
      <c r="B9" s="7" t="inlineStr">
        <is>
          <t>Fixa mensal</t>
        </is>
      </c>
      <c r="C9" s="8" t="n">
        <v>145</v>
      </c>
      <c r="D9" s="5" t="n"/>
      <c r="E9" s="5" t="n"/>
    </row>
    <row r="10">
      <c r="A10" s="7" t="inlineStr">
        <is>
          <t>Contabilidade</t>
        </is>
      </c>
      <c r="B10" s="7" t="inlineStr">
        <is>
          <t>Fixa mensal</t>
        </is>
      </c>
      <c r="C10" s="8" t="n">
        <v>165</v>
      </c>
      <c r="D10" s="5" t="n"/>
      <c r="E10" s="5" t="n"/>
    </row>
    <row r="11">
      <c r="A11" s="7" t="inlineStr">
        <is>
          <t>GPS</t>
        </is>
      </c>
      <c r="B11" s="7" t="inlineStr">
        <is>
          <t>Fixa mensal</t>
        </is>
      </c>
      <c r="C11" s="8" t="n">
        <v>850</v>
      </c>
      <c r="D11" s="5" t="n"/>
      <c r="E11" s="5" t="n"/>
    </row>
    <row r="12">
      <c r="A12" s="7" t="inlineStr">
        <is>
          <t>Diarista</t>
        </is>
      </c>
      <c r="B12" s="7" t="inlineStr">
        <is>
          <t>Fixa mensal</t>
        </is>
      </c>
      <c r="C12" s="8" t="n">
        <v>600</v>
      </c>
      <c r="D12" s="5" t="n"/>
      <c r="E12" s="5" t="n"/>
    </row>
    <row r="13">
      <c r="A13" s="7" t="inlineStr">
        <is>
          <t>Sistema</t>
        </is>
      </c>
      <c r="B13" s="7" t="inlineStr">
        <is>
          <t>Fixa mensal</t>
        </is>
      </c>
      <c r="C13" s="8" t="n">
        <v>300</v>
      </c>
      <c r="D13" s="5" t="n"/>
      <c r="E13" s="5" t="n"/>
    </row>
    <row r="14">
      <c r="A14" s="7" t="inlineStr">
        <is>
          <t>Aluguel</t>
        </is>
      </c>
      <c r="B14" s="7" t="inlineStr">
        <is>
          <t>Fixa mensal</t>
        </is>
      </c>
      <c r="C14" s="8" t="n">
        <v>3700</v>
      </c>
      <c r="D14" s="5" t="n"/>
      <c r="E14" s="5" t="n"/>
    </row>
    <row r="15">
      <c r="A15" s="7" t="inlineStr">
        <is>
          <t>Produtos de limpeza</t>
        </is>
      </c>
      <c r="B15" s="7" t="inlineStr">
        <is>
          <t>Variável mensal</t>
        </is>
      </c>
      <c r="C15" s="8" t="n">
        <v>200</v>
      </c>
      <c r="D15" s="5" t="n"/>
      <c r="E15" s="5" t="n"/>
    </row>
    <row r="16">
      <c r="A16" s="7" t="inlineStr">
        <is>
          <t>Papel toalha</t>
        </is>
      </c>
      <c r="B16" s="7" t="inlineStr">
        <is>
          <t>Variável mensal</t>
        </is>
      </c>
      <c r="C16" s="8" t="n">
        <v>300</v>
      </c>
      <c r="D16" s="5" t="n"/>
      <c r="E16" s="5" t="n"/>
    </row>
    <row r="17">
      <c r="A17" s="7" t="inlineStr">
        <is>
          <t>Sulfite</t>
        </is>
      </c>
      <c r="B17" s="7" t="inlineStr">
        <is>
          <t>Variável mensal</t>
        </is>
      </c>
      <c r="C17" s="8" t="n">
        <v>50</v>
      </c>
      <c r="D17" s="5" t="n"/>
      <c r="E17" s="5" t="n"/>
    </row>
    <row r="18">
      <c r="A18" s="7" t="inlineStr">
        <is>
          <t>Toner</t>
        </is>
      </c>
      <c r="B18" s="7" t="inlineStr">
        <is>
          <t>Variável mensal</t>
        </is>
      </c>
      <c r="C18" s="8" t="n">
        <v>120</v>
      </c>
      <c r="D18" s="5" t="n"/>
      <c r="E18" s="5" t="n"/>
    </row>
    <row r="19">
      <c r="A19" s="7" t="inlineStr">
        <is>
          <t>Água recepção</t>
        </is>
      </c>
      <c r="B19" s="7" t="inlineStr">
        <is>
          <t>Variável mensal</t>
        </is>
      </c>
      <c r="C19" s="8" t="n">
        <v>50</v>
      </c>
      <c r="D19" s="5" t="n"/>
      <c r="E19" s="5" t="n"/>
    </row>
    <row r="20">
      <c r="A20" s="7" t="inlineStr">
        <is>
          <t>Café</t>
        </is>
      </c>
      <c r="B20" s="7" t="inlineStr">
        <is>
          <t>Variável mensal</t>
        </is>
      </c>
      <c r="C20" s="8" t="n">
        <v>90</v>
      </c>
      <c r="D20" s="5" t="n"/>
      <c r="E20" s="5" t="n"/>
    </row>
    <row r="21">
      <c r="A21" s="7" t="inlineStr">
        <is>
          <t>Copos</t>
        </is>
      </c>
      <c r="B21" s="7" t="inlineStr">
        <is>
          <t>Variável mensal</t>
        </is>
      </c>
      <c r="C21" s="8" t="n">
        <v>50</v>
      </c>
      <c r="D21" s="5" t="n"/>
      <c r="E21" s="5" t="n"/>
    </row>
    <row r="22">
      <c r="A22" s="7" t="inlineStr">
        <is>
          <t>Bolachas</t>
        </is>
      </c>
      <c r="B22" s="7" t="inlineStr">
        <is>
          <t>Variável mensal</t>
        </is>
      </c>
      <c r="C22" s="8" t="n">
        <v>100</v>
      </c>
      <c r="D22" s="5" t="n"/>
      <c r="E22" s="5" t="n"/>
    </row>
    <row r="23">
      <c r="A23" s="7" t="inlineStr">
        <is>
          <t>13º salário</t>
        </is>
      </c>
      <c r="B23" s="7" t="inlineStr">
        <is>
          <t>Eventual anual</t>
        </is>
      </c>
      <c r="C23" s="8" t="n">
        <v>2500</v>
      </c>
      <c r="D23" s="5" t="n"/>
      <c r="E23" s="5" t="n"/>
    </row>
    <row r="24">
      <c r="A24" s="7" t="inlineStr">
        <is>
          <t>Férias</t>
        </is>
      </c>
      <c r="B24" s="7" t="inlineStr">
        <is>
          <t>Eventual anual</t>
        </is>
      </c>
      <c r="C24" s="8" t="n">
        <v>2500</v>
      </c>
      <c r="D24" s="5" t="n"/>
      <c r="E24" s="5" t="n"/>
    </row>
    <row r="25">
      <c r="A25" s="7" t="inlineStr">
        <is>
          <t>Técnico das cadeiras</t>
        </is>
      </c>
      <c r="B25" s="7" t="inlineStr">
        <is>
          <t>Eventual anual</t>
        </is>
      </c>
      <c r="C25" s="8" t="n">
        <v>1000</v>
      </c>
      <c r="D25" s="5" t="n"/>
      <c r="E25" s="5" t="n"/>
    </row>
    <row r="26">
      <c r="A26" s="7" t="inlineStr">
        <is>
          <t>Consertos</t>
        </is>
      </c>
      <c r="B26" s="7" t="inlineStr">
        <is>
          <t>Eventual anual</t>
        </is>
      </c>
      <c r="C26" s="8" t="n">
        <v>1000</v>
      </c>
      <c r="D26" s="5" t="n"/>
      <c r="E26" s="5" t="n"/>
    </row>
    <row r="27">
      <c r="A27" s="7" t="inlineStr">
        <is>
          <t>Fachada</t>
        </is>
      </c>
      <c r="B27" s="7" t="inlineStr">
        <is>
          <t>Eventual anual</t>
        </is>
      </c>
      <c r="C27" s="8" t="n">
        <v>2000</v>
      </c>
      <c r="D27" s="5" t="n"/>
      <c r="E27" s="5" t="n"/>
    </row>
    <row r="28">
      <c r="A28" s="7" t="inlineStr">
        <is>
          <t>Gráfica</t>
        </is>
      </c>
      <c r="B28" s="7" t="inlineStr">
        <is>
          <t>Eventual anual</t>
        </is>
      </c>
      <c r="C28" s="8" t="n">
        <v>4000</v>
      </c>
      <c r="D28" s="5" t="n"/>
      <c r="E28" s="5" t="n"/>
    </row>
    <row r="29">
      <c r="A29" s="7" t="inlineStr">
        <is>
          <t>Agência</t>
        </is>
      </c>
      <c r="B29" s="7" t="inlineStr">
        <is>
          <t>Publicidade mensal</t>
        </is>
      </c>
      <c r="C29" s="8" t="n">
        <v>300</v>
      </c>
      <c r="D29" s="5" t="n"/>
      <c r="E29" s="5" t="n"/>
    </row>
    <row r="30">
      <c r="A30" s="7" t="inlineStr">
        <is>
          <t>Anúncios</t>
        </is>
      </c>
      <c r="B30" s="7" t="inlineStr">
        <is>
          <t>Publicidade mensal</t>
        </is>
      </c>
      <c r="C30" s="8" t="n">
        <v>4000</v>
      </c>
      <c r="D30" s="5" t="n"/>
      <c r="E30" s="5" t="n"/>
    </row>
    <row r="31">
      <c r="A31" s="7" t="inlineStr">
        <is>
          <t>Campanhas internas</t>
        </is>
      </c>
      <c r="B31" s="7" t="inlineStr">
        <is>
          <t>Publicidade mensal</t>
        </is>
      </c>
      <c r="C31" s="8" t="n">
        <v>1000</v>
      </c>
      <c r="D31" s="5" t="n"/>
      <c r="E31" s="5" t="n"/>
    </row>
    <row r="32">
      <c r="A32" s="7" t="inlineStr">
        <is>
          <t>Decoração</t>
        </is>
      </c>
      <c r="B32" s="7" t="inlineStr">
        <is>
          <t>Publicidade mensal</t>
        </is>
      </c>
      <c r="C32" s="8" t="n">
        <v>200</v>
      </c>
      <c r="D32" s="5" t="n"/>
      <c r="E32" s="5" t="n"/>
    </row>
    <row r="33">
      <c r="A33" s="7" t="n"/>
      <c r="B33" s="7" t="n"/>
      <c r="C33" s="8" t="n"/>
      <c r="D33" s="5" t="n"/>
      <c r="E33" s="5" t="n"/>
    </row>
    <row r="34">
      <c r="A34" s="7" t="n"/>
      <c r="B34" s="7" t="n"/>
      <c r="C34" s="8" t="n"/>
      <c r="D34" s="5" t="n"/>
      <c r="E34" s="5" t="n"/>
    </row>
    <row r="35">
      <c r="A35" s="7" t="n"/>
      <c r="B35" s="7" t="n"/>
      <c r="C35" s="8" t="n"/>
      <c r="D35" s="5" t="n"/>
      <c r="E35" s="5" t="n"/>
    </row>
    <row r="36">
      <c r="A36" s="7" t="n"/>
      <c r="B36" s="7" t="n"/>
      <c r="C36" s="8" t="n"/>
      <c r="D36" s="5" t="n"/>
      <c r="E36" s="5" t="n"/>
    </row>
    <row r="37">
      <c r="A37" s="7" t="n"/>
      <c r="B37" s="7" t="n"/>
      <c r="C37" s="8" t="n"/>
      <c r="D37" s="5" t="n"/>
      <c r="E37" s="5" t="n"/>
    </row>
    <row r="38">
      <c r="A38" s="7" t="n"/>
      <c r="B38" s="7" t="n"/>
      <c r="C38" s="8" t="n"/>
      <c r="D38" s="5" t="n"/>
      <c r="E38" s="5" t="n"/>
    </row>
    <row r="39">
      <c r="A39" s="7" t="n"/>
      <c r="B39" s="7" t="n"/>
      <c r="C39" s="8" t="n"/>
      <c r="D39" s="5" t="n"/>
      <c r="E39" s="5" t="n"/>
    </row>
    <row r="40">
      <c r="A40" s="7" t="n"/>
      <c r="B40" s="7" t="n"/>
      <c r="C40" s="8" t="n"/>
      <c r="D40" s="5" t="n"/>
      <c r="E40" s="5" t="n"/>
    </row>
    <row r="41">
      <c r="A41" s="7" t="n"/>
      <c r="B41" s="7" t="n"/>
      <c r="C41" s="8" t="n"/>
      <c r="D41" s="5" t="n"/>
      <c r="E41" s="5" t="n"/>
    </row>
    <row r="42">
      <c r="A42" s="7" t="n"/>
      <c r="B42" s="7" t="n"/>
      <c r="C42" s="8" t="n"/>
      <c r="D42" s="5" t="n"/>
      <c r="E42" s="5" t="n"/>
    </row>
    <row r="43">
      <c r="A43" s="5" t="n"/>
      <c r="B43" s="5" t="n"/>
      <c r="C43" s="5" t="n"/>
      <c r="D43" s="5" t="n"/>
      <c r="E43" s="5" t="n"/>
    </row>
    <row r="44">
      <c r="A44" s="9" t="inlineStr">
        <is>
          <t>Resumo do custo mensal</t>
        </is>
      </c>
      <c r="B44" s="5" t="n"/>
      <c r="C44" s="5" t="n"/>
      <c r="D44" s="5" t="n"/>
      <c r="E44" s="5" t="n"/>
    </row>
    <row r="45">
      <c r="A45" s="10" t="inlineStr">
        <is>
          <t>Fixas mensais</t>
        </is>
      </c>
      <c r="B45" s="11">
        <f>SUMIF($B$4:$B$42,"Fixa mensal",$C$4:$C$42)</f>
        <v/>
      </c>
      <c r="C45" s="5" t="n"/>
      <c r="D45" s="5" t="n"/>
      <c r="E45" s="5" t="n"/>
    </row>
    <row r="46">
      <c r="A46" s="10" t="inlineStr">
        <is>
          <t>Variáveis mensais</t>
        </is>
      </c>
      <c r="B46" s="11">
        <f>SUMIF($B$4:$B$42,"Variável mensal",$C$4:$C$42)</f>
        <v/>
      </c>
      <c r="C46" s="5" t="n"/>
      <c r="D46" s="5" t="n"/>
      <c r="E46" s="5" t="n"/>
    </row>
    <row r="47">
      <c r="A47" s="10" t="inlineStr">
        <is>
          <t>Eventuais anuais ÷ 12</t>
        </is>
      </c>
      <c r="B47" s="11">
        <f>SUMIF($B$4:$B$42,"Eventual anual",$C$4:$C$42)/12</f>
        <v/>
      </c>
      <c r="C47" s="5" t="n"/>
      <c r="D47" s="5" t="n"/>
      <c r="E47" s="5" t="n"/>
    </row>
    <row r="48">
      <c r="A48" s="10" t="inlineStr">
        <is>
          <t>Publicidade mensal</t>
        </is>
      </c>
      <c r="B48" s="11">
        <f>SUMIF($B$4:$B$42,"Publicidade mensal",$C$4:$C$42)</f>
        <v/>
      </c>
      <c r="C48" s="5" t="n"/>
      <c r="D48" s="5" t="n"/>
      <c r="E48" s="5" t="n"/>
    </row>
    <row r="49">
      <c r="A49" s="10" t="inlineStr">
        <is>
          <t>CUSTO MENSAL DA CLÍNICA</t>
        </is>
      </c>
      <c r="B49" s="11">
        <f>SUM(B45:B48)</f>
        <v/>
      </c>
      <c r="C49" s="5" t="n"/>
      <c r="D49" s="5" t="n"/>
      <c r="E49" s="5" t="n"/>
    </row>
    <row r="50">
      <c r="A50" s="5" t="n"/>
      <c r="B50" s="5" t="n"/>
      <c r="C50" s="5" t="n"/>
      <c r="D50" s="5" t="n"/>
      <c r="E50" s="5" t="n"/>
    </row>
    <row r="51">
      <c r="A51" s="9" t="inlineStr">
        <is>
          <t>Estrutura e horas</t>
        </is>
      </c>
      <c r="B51" s="5" t="n"/>
      <c r="C51" s="5" t="n"/>
      <c r="D51" s="5" t="n"/>
      <c r="E51" s="5" t="n"/>
    </row>
    <row r="52">
      <c r="A52" s="10" t="inlineStr">
        <is>
          <t>Salas (cadeiras) em uso</t>
        </is>
      </c>
      <c r="B52" s="7" t="n">
        <v>4</v>
      </c>
      <c r="C52" s="5" t="n"/>
      <c r="D52" s="5" t="n"/>
      <c r="E52" s="5" t="n"/>
    </row>
    <row r="53">
      <c r="A53" s="10" t="inlineStr">
        <is>
          <t>Horas por semana, por sala</t>
        </is>
      </c>
      <c r="B53" s="7" t="n">
        <v>35</v>
      </c>
      <c r="C53" s="5" t="n"/>
      <c r="D53" s="5" t="n"/>
      <c r="E53" s="5" t="n"/>
    </row>
    <row r="54">
      <c r="A54" s="10" t="inlineStr">
        <is>
          <t>Semanas por mês</t>
        </is>
      </c>
      <c r="B54" s="7" t="n">
        <v>4</v>
      </c>
      <c r="C54" s="5" t="n"/>
      <c r="D54" s="5" t="n"/>
      <c r="E54" s="12" t="inlineStr">
        <is>
          <t>4,33 = 52 ÷ 12 se preferir a média</t>
        </is>
      </c>
    </row>
    <row r="55">
      <c r="A55" s="10" t="inlineStr">
        <is>
          <t>Ocupação da agenda</t>
        </is>
      </c>
      <c r="B55" s="13" t="n">
        <v>0.65</v>
      </c>
      <c r="C55" s="5" t="n"/>
      <c r="D55" s="5" t="n"/>
      <c r="E55" s="12" t="inlineStr">
        <is>
          <t>Parte das horas abertas que realmente vira atendimento</t>
        </is>
      </c>
    </row>
    <row r="56">
      <c r="A56" s="10" t="inlineStr">
        <is>
          <t>Horas produtivas por mês</t>
        </is>
      </c>
      <c r="B56" s="14">
        <f>B52*B53*B54*B55</f>
        <v/>
      </c>
      <c r="C56" s="5" t="n"/>
      <c r="D56" s="5" t="n"/>
      <c r="E56" s="5" t="n"/>
    </row>
    <row r="57">
      <c r="A57" s="10" t="inlineStr">
        <is>
          <t>CUSTO DA ESTRUTURA POR HORA</t>
        </is>
      </c>
      <c r="B57" s="11">
        <f>IF(B56=0,0,B49/B56)</f>
        <v/>
      </c>
      <c r="C57" s="5" t="n"/>
      <c r="D57" s="5" t="n"/>
      <c r="E57" s="5" t="n"/>
    </row>
    <row r="58">
      <c r="A58" s="5" t="n"/>
      <c r="B58" s="5" t="n"/>
      <c r="C58" s="5" t="n"/>
      <c r="D58" s="5" t="n"/>
      <c r="E58" s="5" t="n"/>
    </row>
    <row r="59">
      <c r="A59" s="9" t="inlineStr">
        <is>
          <t>Profissional e percentuais sobre o preço</t>
        </is>
      </c>
      <c r="B59" s="5" t="n"/>
      <c r="C59" s="5" t="n"/>
      <c r="D59" s="5" t="n"/>
      <c r="E59" s="5" t="n"/>
    </row>
    <row r="60">
      <c r="A60" s="10" t="inlineStr">
        <is>
          <t>Hora clínica do profissional (R$/h)</t>
        </is>
      </c>
      <c r="B60" s="8" t="n">
        <v>50</v>
      </c>
      <c r="C60" s="5" t="n"/>
      <c r="D60" s="5" t="n"/>
      <c r="E60" s="12" t="inlineStr">
        <is>
          <t>Remuneração do dentista por hora de cadeira</t>
        </is>
      </c>
    </row>
    <row r="61">
      <c r="A61" s="10" t="inlineStr">
        <is>
          <t>Taxa da máquina de cartão</t>
        </is>
      </c>
      <c r="B61" s="13" t="n">
        <v>0.04</v>
      </c>
      <c r="C61" s="5" t="n"/>
      <c r="D61" s="5" t="n"/>
      <c r="E61" s="12" t="inlineStr">
        <is>
          <t>Média de débito, crédito e parcelado</t>
        </is>
      </c>
    </row>
    <row r="62">
      <c r="A62" s="10" t="inlineStr">
        <is>
          <t>Comissão (padrão)</t>
        </is>
      </c>
      <c r="B62" s="13" t="n">
        <v>0.07000000000000001</v>
      </c>
      <c r="C62" s="5" t="n"/>
      <c r="D62" s="5" t="n"/>
      <c r="E62" s="12" t="inlineStr">
        <is>
          <t>Cada procedimento pode ter a sua (aba Procedimentos)</t>
        </is>
      </c>
    </row>
    <row r="63">
      <c r="A63" s="10" t="inlineStr">
        <is>
          <t>Lucro desejado (padrão)</t>
        </is>
      </c>
      <c r="B63" s="13" t="n">
        <v>0.3</v>
      </c>
      <c r="C63" s="5" t="n"/>
      <c r="D63" s="5" t="n"/>
      <c r="E63" s="5" t="n"/>
    </row>
    <row r="64">
      <c r="A64" s="10" t="inlineStr">
        <is>
          <t>Regime do IR (1 = pessoa física, 2 = pessoa jurídica)</t>
        </is>
      </c>
      <c r="B64" s="7" t="n">
        <v>2</v>
      </c>
      <c r="C64" s="5" t="n"/>
      <c r="D64" s="5" t="n"/>
      <c r="E64" s="12" t="inlineStr">
        <is>
          <t>PF: IR incide sobre o lucro (carnê-leão). PJ: tributos incidem sobre o faturamento (Simples / Presumido)</t>
        </is>
      </c>
    </row>
    <row r="65">
      <c r="A65" s="10" t="inlineStr">
        <is>
          <t>IR pessoa física</t>
        </is>
      </c>
      <c r="B65" s="13" t="n">
        <v>0.275</v>
      </c>
      <c r="C65" s="5" t="n"/>
      <c r="D65" s="5" t="n"/>
      <c r="E65" s="12" t="inlineStr">
        <is>
          <t>Alíquota efetiva da sua faixa (teto 27,5%)</t>
        </is>
      </c>
    </row>
    <row r="66">
      <c r="A66" s="10" t="inlineStr">
        <is>
          <t>Tributos pessoa jurídica</t>
        </is>
      </c>
      <c r="B66" s="13" t="n">
        <v>0.15</v>
      </c>
      <c r="C66" s="5" t="n"/>
      <c r="D66" s="5" t="n"/>
      <c r="E66" s="12" t="inlineStr">
        <is>
          <t>Simples 6% a 15,5%; Presumido 11,33% + ISS. Valide com o contador</t>
        </is>
      </c>
    </row>
    <row r="67">
      <c r="A67" s="10" t="inlineStr">
        <is>
          <t>IR usado no preço</t>
        </is>
      </c>
      <c r="B67" s="15">
        <f>IF(B64=2,B66,B65)</f>
        <v/>
      </c>
      <c r="C67" s="5" t="n"/>
      <c r="D67" s="5" t="n"/>
      <c r="E67" s="5" t="n"/>
    </row>
    <row r="68">
      <c r="A68" s="5" t="n"/>
      <c r="B68" s="5" t="n"/>
      <c r="C68" s="5" t="n"/>
      <c r="D68" s="5" t="n"/>
      <c r="E68" s="5" t="n"/>
    </row>
    <row r="69">
      <c r="A69" s="9" t="inlineStr">
        <is>
          <t>Taxas adicionais sobre o preço (1 = ativa, 0 = desligada)</t>
        </is>
      </c>
      <c r="B69" s="5" t="n"/>
      <c r="C69" s="5" t="n"/>
      <c r="D69" s="5" t="n"/>
      <c r="E69" s="5" t="n"/>
    </row>
    <row r="70" ht="32" customHeight="1">
      <c r="A70" s="6" t="inlineStr">
        <is>
          <t>Taxa</t>
        </is>
      </c>
      <c r="B70" s="6" t="inlineStr">
        <is>
          <t>Percentual</t>
        </is>
      </c>
      <c r="C70" s="6" t="inlineStr">
        <is>
          <t>Ativa (1/0)</t>
        </is>
      </c>
      <c r="D70" s="6" t="inlineStr"/>
      <c r="E70" s="6" t="inlineStr">
        <is>
          <t>Quando usar</t>
        </is>
      </c>
    </row>
    <row r="71">
      <c r="A71" s="7" t="inlineStr">
        <is>
          <t>ISS</t>
        </is>
      </c>
      <c r="B71" s="13" t="n">
        <v>0.05</v>
      </c>
      <c r="C71" s="7" t="n">
        <v>0</v>
      </c>
      <c r="D71" s="5" t="n"/>
      <c r="E71" s="12" t="inlineStr">
        <is>
          <t>Imposto municipal sobre serviços (2% a 5%). No Simples Nacional já está no DAS: deixe 0.</t>
        </is>
      </c>
    </row>
    <row r="72">
      <c r="A72" s="7" t="inlineStr">
        <is>
          <t>Inadimplência</t>
        </is>
      </c>
      <c r="B72" s="13" t="n">
        <v>0.03</v>
      </c>
      <c r="C72" s="7" t="n">
        <v>0</v>
      </c>
      <c r="D72" s="5" t="n"/>
      <c r="E72" s="12" t="inlineStr">
        <is>
          <t>Provisão para pacientes que não pagam.</t>
        </is>
      </c>
    </row>
    <row r="73">
      <c r="A73" s="7" t="inlineStr">
        <is>
          <t>Antecipação de recebíveis</t>
        </is>
      </c>
      <c r="B73" s="13" t="n">
        <v>0.03</v>
      </c>
      <c r="C73" s="7" t="n">
        <v>0</v>
      </c>
      <c r="D73" s="5" t="n"/>
      <c r="E73" s="12" t="inlineStr">
        <is>
          <t>Custo de antecipar as parcelas do cartão.</t>
        </is>
      </c>
    </row>
    <row r="74">
      <c r="A74" s="7" t="inlineStr">
        <is>
          <t>Garantia e retrabalho</t>
        </is>
      </c>
      <c r="B74" s="13" t="n">
        <v>0.02</v>
      </c>
      <c r="C74" s="7" t="n">
        <v>0</v>
      </c>
      <c r="D74" s="5" t="n"/>
      <c r="E74" s="12" t="inlineStr">
        <is>
          <t>Reserva para refazer procedimentos sem cobrar.</t>
        </is>
      </c>
    </row>
    <row r="75">
      <c r="A75" s="7" t="inlineStr">
        <is>
          <t>Margem de negociação</t>
        </is>
      </c>
      <c r="B75" s="13" t="n">
        <v>0.05</v>
      </c>
      <c r="C75" s="7" t="n">
        <v>0</v>
      </c>
      <c r="D75" s="5" t="n"/>
      <c r="E75" s="12" t="inlineStr">
        <is>
          <t>Espaço para dar desconto sem perder o lucro desejado.</t>
        </is>
      </c>
    </row>
    <row r="76">
      <c r="A76" s="7" t="inlineStr">
        <is>
          <t>Convênios / planos</t>
        </is>
      </c>
      <c r="B76" s="13" t="n">
        <v>0</v>
      </c>
      <c r="C76" s="7" t="n">
        <v>0</v>
      </c>
      <c r="D76" s="5" t="n"/>
      <c r="E76" s="12" t="inlineStr">
        <is>
          <t>Desconto médio das tabelas de convênio.</t>
        </is>
      </c>
    </row>
    <row r="77">
      <c r="A77" s="7" t="inlineStr">
        <is>
          <t>Marketing por procedimento</t>
        </is>
      </c>
      <c r="B77" s="13" t="n">
        <v>0</v>
      </c>
      <c r="C77" s="7" t="n">
        <v>0</v>
      </c>
      <c r="D77" s="5" t="n"/>
      <c r="E77" s="12" t="inlineStr">
        <is>
          <t>Se preferir ratear a captação por procedimento.</t>
        </is>
      </c>
    </row>
    <row r="78">
      <c r="A78" s="10" t="inlineStr">
        <is>
          <t>Taxas adicionais ativas</t>
        </is>
      </c>
      <c r="B78" s="15">
        <f>SUMPRODUCT($B$71:$B$77,$C$71:$C$77)</f>
        <v/>
      </c>
      <c r="C78" s="5" t="n"/>
      <c r="D78" s="5" t="n"/>
      <c r="E78" s="5" t="n"/>
    </row>
    <row r="79">
      <c r="A79" s="10" t="inlineStr">
        <is>
          <t>Percentuais sobre o preço, sem o lucro</t>
        </is>
      </c>
      <c r="B79" s="15">
        <f>B61+B62+B78</f>
        <v/>
      </c>
      <c r="C79" s="5" t="n"/>
      <c r="D79" s="5" t="n"/>
      <c r="E79" s="5" t="n"/>
    </row>
    <row r="80">
      <c r="A80" s="10" t="inlineStr">
        <is>
          <t>Total com IR e lucro padrão</t>
        </is>
      </c>
      <c r="B80" s="15">
        <f>B79+B67+B63</f>
        <v/>
      </c>
      <c r="C80" s="5" t="n"/>
      <c r="D80" s="5" t="n"/>
      <c r="E80" s="5" t="n"/>
    </row>
    <row r="81">
      <c r="A81" s="10" t="inlineStr">
        <is>
          <t>Verificação</t>
        </is>
      </c>
      <c r="B81" s="14">
        <f>IF(B80&gt;=1,"ERRO: percentuais somam 100% ou mais","OK")</f>
        <v/>
      </c>
      <c r="C81" s="5" t="n"/>
      <c r="D81" s="5" t="n"/>
      <c r="E81" s="5" t="n"/>
    </row>
  </sheetData>
  <dataValidations count="1">
    <dataValidation sqref="B4 B5 B6 B7 B8 B9 B10 B11 B12 B13 B14 B15 B16 B17 B18 B19 B20 B21 B22 B23 B24 B25 B26 B27 B28 B29 B30 B31 B32 B33 B34 B35 B36 B37 B38 B39 B40 B41 B42" showDropDown="0" showInputMessage="0" showErrorMessage="0" allowBlank="0" type="list">
      <formula1>"Fixa mensal,Variável mensal,Eventual anual,Publicidade mensal"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8" customWidth="1" min="2" max="2"/>
    <col width="20" customWidth="1" min="3" max="3"/>
    <col width="20" customWidth="1" min="4" max="4"/>
    <col width="16" customWidth="1" min="5" max="5"/>
    <col width="10" customWidth="1" min="6" max="6"/>
    <col width="24" customWidth="1" min="7" max="7"/>
  </cols>
  <sheetData>
    <row r="1" ht="32" customHeight="1">
      <c r="A1" s="6" t="inlineStr">
        <is>
          <t>Material</t>
        </is>
      </c>
      <c r="B1" s="6" t="inlineStr">
        <is>
          <t>Embalagem</t>
        </is>
      </c>
      <c r="C1" s="6" t="inlineStr">
        <is>
          <t>Preço da embalagem (R$)</t>
        </is>
      </c>
      <c r="D1" s="6" t="inlineStr">
        <is>
          <t>Rendimento (unidades de uso)</t>
        </is>
      </c>
      <c r="E1" s="6" t="inlineStr">
        <is>
          <t>Unidade de uso</t>
        </is>
      </c>
      <c r="F1" s="6" t="inlineStr">
        <is>
          <t>Perda</t>
        </is>
      </c>
      <c r="G1" s="6" t="inlineStr">
        <is>
          <t>Custo por unidade de uso (R$)</t>
        </is>
      </c>
    </row>
    <row r="2">
      <c r="A2" s="7" t="inlineStr">
        <is>
          <t>Resina composta A2</t>
        </is>
      </c>
      <c r="B2" s="7" t="inlineStr">
        <is>
          <t>Seringa 4 g</t>
        </is>
      </c>
      <c r="C2" s="8" t="n">
        <v>89.90000000000001</v>
      </c>
      <c r="D2" s="7" t="n">
        <v>40</v>
      </c>
      <c r="E2" s="7" t="inlineStr">
        <is>
          <t>0,1 g</t>
        </is>
      </c>
      <c r="F2" s="13" t="n">
        <v>0.1</v>
      </c>
      <c r="G2" s="16">
        <f>IF(OR(A2="",D2=0),0,C2/(D2*(1-F2)))</f>
        <v/>
      </c>
    </row>
    <row r="3">
      <c r="A3" s="7" t="inlineStr">
        <is>
          <t>Sistema adesivo</t>
        </is>
      </c>
      <c r="B3" s="7" t="inlineStr">
        <is>
          <t>Frasco 5 ml</t>
        </is>
      </c>
      <c r="C3" s="8" t="n">
        <v>120</v>
      </c>
      <c r="D3" s="7" t="n">
        <v>100</v>
      </c>
      <c r="E3" s="7" t="inlineStr">
        <is>
          <t>aplicação</t>
        </is>
      </c>
      <c r="F3" s="13" t="n">
        <v>0.1</v>
      </c>
      <c r="G3" s="16">
        <f>IF(OR(A3="",D3=0),0,C3/(D3*(1-F3)))</f>
        <v/>
      </c>
    </row>
    <row r="4">
      <c r="A4" s="7" t="inlineStr">
        <is>
          <t>Ácido fosfórico 37%</t>
        </is>
      </c>
      <c r="B4" s="7" t="inlineStr">
        <is>
          <t>Seringa 3 ml</t>
        </is>
      </c>
      <c r="C4" s="8" t="n">
        <v>12</v>
      </c>
      <c r="D4" s="7" t="n">
        <v>30</v>
      </c>
      <c r="E4" s="7" t="inlineStr">
        <is>
          <t>aplicação</t>
        </is>
      </c>
      <c r="F4" s="13" t="n">
        <v>0.1</v>
      </c>
      <c r="G4" s="16">
        <f>IF(OR(A4="",D4=0),0,C4/(D4*(1-F4)))</f>
        <v/>
      </c>
    </row>
    <row r="5">
      <c r="A5" s="7" t="inlineStr">
        <is>
          <t>Anestésico (tubete)</t>
        </is>
      </c>
      <c r="B5" s="7" t="inlineStr">
        <is>
          <t>Caixa 50 tubetes</t>
        </is>
      </c>
      <c r="C5" s="8" t="n">
        <v>95</v>
      </c>
      <c r="D5" s="7" t="n">
        <v>50</v>
      </c>
      <c r="E5" s="7" t="inlineStr">
        <is>
          <t>tubete</t>
        </is>
      </c>
      <c r="F5" s="13" t="n">
        <v>0</v>
      </c>
      <c r="G5" s="16">
        <f>IF(OR(A5="",D5=0),0,C5/(D5*(1-F5)))</f>
        <v/>
      </c>
    </row>
    <row r="6">
      <c r="A6" s="7" t="inlineStr">
        <is>
          <t>Agulha gengival curta</t>
        </is>
      </c>
      <c r="B6" s="7" t="inlineStr">
        <is>
          <t>Caixa 100</t>
        </is>
      </c>
      <c r="C6" s="8" t="n">
        <v>45</v>
      </c>
      <c r="D6" s="7" t="n">
        <v>100</v>
      </c>
      <c r="E6" s="7" t="inlineStr">
        <is>
          <t>unidade</t>
        </is>
      </c>
      <c r="F6" s="13" t="n">
        <v>0</v>
      </c>
      <c r="G6" s="16">
        <f>IF(OR(A6="",D6=0),0,C6/(D6*(1-F6)))</f>
        <v/>
      </c>
    </row>
    <row r="7">
      <c r="A7" s="7" t="inlineStr">
        <is>
          <t>Luvas de procedimento</t>
        </is>
      </c>
      <c r="B7" s="7" t="inlineStr">
        <is>
          <t>Caixa 100</t>
        </is>
      </c>
      <c r="C7" s="8" t="n">
        <v>38</v>
      </c>
      <c r="D7" s="7" t="n">
        <v>100</v>
      </c>
      <c r="E7" s="7" t="inlineStr">
        <is>
          <t>unidade</t>
        </is>
      </c>
      <c r="F7" s="13" t="n">
        <v>0</v>
      </c>
      <c r="G7" s="16">
        <f>IF(OR(A7="",D7=0),0,C7/(D7*(1-F7)))</f>
        <v/>
      </c>
    </row>
    <row r="8">
      <c r="A8" s="7" t="inlineStr">
        <is>
          <t>Máscara descartável</t>
        </is>
      </c>
      <c r="B8" s="7" t="inlineStr">
        <is>
          <t>Caixa 50</t>
        </is>
      </c>
      <c r="C8" s="8" t="n">
        <v>22</v>
      </c>
      <c r="D8" s="7" t="n">
        <v>50</v>
      </c>
      <c r="E8" s="7" t="inlineStr">
        <is>
          <t>unidade</t>
        </is>
      </c>
      <c r="F8" s="13" t="n">
        <v>0</v>
      </c>
      <c r="G8" s="16">
        <f>IF(OR(A8="",D8=0),0,C8/(D8*(1-F8)))</f>
        <v/>
      </c>
    </row>
    <row r="9">
      <c r="A9" s="7" t="inlineStr">
        <is>
          <t>Babador descartável</t>
        </is>
      </c>
      <c r="B9" s="7" t="inlineStr">
        <is>
          <t>Pacote 100</t>
        </is>
      </c>
      <c r="C9" s="8" t="n">
        <v>28</v>
      </c>
      <c r="D9" s="7" t="n">
        <v>100</v>
      </c>
      <c r="E9" s="7" t="inlineStr">
        <is>
          <t>unidade</t>
        </is>
      </c>
      <c r="F9" s="13" t="n">
        <v>0</v>
      </c>
      <c r="G9" s="16">
        <f>IF(OR(A9="",D9=0),0,C9/(D9*(1-F9)))</f>
        <v/>
      </c>
    </row>
    <row r="10">
      <c r="A10" s="7" t="inlineStr">
        <is>
          <t>Sugador descartável</t>
        </is>
      </c>
      <c r="B10" s="7" t="inlineStr">
        <is>
          <t>Pacote 40</t>
        </is>
      </c>
      <c r="C10" s="8" t="n">
        <v>14</v>
      </c>
      <c r="D10" s="7" t="n">
        <v>40</v>
      </c>
      <c r="E10" s="7" t="inlineStr">
        <is>
          <t>unidade</t>
        </is>
      </c>
      <c r="F10" s="13" t="n">
        <v>0</v>
      </c>
      <c r="G10" s="16">
        <f>IF(OR(A10="",D10=0),0,C10/(D10*(1-F10)))</f>
        <v/>
      </c>
    </row>
    <row r="11">
      <c r="A11" s="7" t="inlineStr">
        <is>
          <t>Pasta profilática</t>
        </is>
      </c>
      <c r="B11" s="7" t="inlineStr">
        <is>
          <t>Pote 90 g</t>
        </is>
      </c>
      <c r="C11" s="8" t="n">
        <v>18</v>
      </c>
      <c r="D11" s="7" t="n">
        <v>90</v>
      </c>
      <c r="E11" s="7" t="inlineStr">
        <is>
          <t>1 g</t>
        </is>
      </c>
      <c r="F11" s="13" t="n">
        <v>0.15</v>
      </c>
      <c r="G11" s="16">
        <f>IF(OR(A11="",D11=0),0,C11/(D11*(1-F11)))</f>
        <v/>
      </c>
    </row>
    <row r="12">
      <c r="A12" s="7" t="inlineStr">
        <is>
          <t>Gaze</t>
        </is>
      </c>
      <c r="B12" s="7" t="inlineStr">
        <is>
          <t>Pacote 500</t>
        </is>
      </c>
      <c r="C12" s="8" t="n">
        <v>20</v>
      </c>
      <c r="D12" s="7" t="n">
        <v>500</v>
      </c>
      <c r="E12" s="7" t="inlineStr">
        <is>
          <t>unidade</t>
        </is>
      </c>
      <c r="F12" s="13" t="n">
        <v>0</v>
      </c>
      <c r="G12" s="16">
        <f>IF(OR(A12="",D12=0),0,C12/(D12*(1-F12)))</f>
        <v/>
      </c>
    </row>
    <row r="13">
      <c r="A13" s="7" t="n"/>
      <c r="B13" s="7" t="n"/>
      <c r="C13" s="8" t="n"/>
      <c r="D13" s="7" t="n"/>
      <c r="E13" s="7" t="n"/>
      <c r="F13" s="13" t="n"/>
      <c r="G13" s="16">
        <f>IF(OR(A13="",D13=0),0,C13/(D13*(1-F13)))</f>
        <v/>
      </c>
    </row>
    <row r="14">
      <c r="A14" s="7" t="n"/>
      <c r="B14" s="7" t="n"/>
      <c r="C14" s="8" t="n"/>
      <c r="D14" s="7" t="n"/>
      <c r="E14" s="7" t="n"/>
      <c r="F14" s="13" t="n"/>
      <c r="G14" s="16">
        <f>IF(OR(A14="",D14=0),0,C14/(D14*(1-F14)))</f>
        <v/>
      </c>
    </row>
    <row r="15">
      <c r="A15" s="7" t="n"/>
      <c r="B15" s="7" t="n"/>
      <c r="C15" s="8" t="n"/>
      <c r="D15" s="7" t="n"/>
      <c r="E15" s="7" t="n"/>
      <c r="F15" s="13" t="n"/>
      <c r="G15" s="16">
        <f>IF(OR(A15="",D15=0),0,C15/(D15*(1-F15)))</f>
        <v/>
      </c>
    </row>
    <row r="16">
      <c r="A16" s="7" t="n"/>
      <c r="B16" s="7" t="n"/>
      <c r="C16" s="8" t="n"/>
      <c r="D16" s="7" t="n"/>
      <c r="E16" s="7" t="n"/>
      <c r="F16" s="13" t="n"/>
      <c r="G16" s="16">
        <f>IF(OR(A16="",D16=0),0,C16/(D16*(1-F16)))</f>
        <v/>
      </c>
    </row>
    <row r="17">
      <c r="A17" s="7" t="n"/>
      <c r="B17" s="7" t="n"/>
      <c r="C17" s="8" t="n"/>
      <c r="D17" s="7" t="n"/>
      <c r="E17" s="7" t="n"/>
      <c r="F17" s="13" t="n"/>
      <c r="G17" s="16">
        <f>IF(OR(A17="",D17=0),0,C17/(D17*(1-F17)))</f>
        <v/>
      </c>
    </row>
    <row r="18">
      <c r="A18" s="7" t="n"/>
      <c r="B18" s="7" t="n"/>
      <c r="C18" s="8" t="n"/>
      <c r="D18" s="7" t="n"/>
      <c r="E18" s="7" t="n"/>
      <c r="F18" s="13" t="n"/>
      <c r="G18" s="16">
        <f>IF(OR(A18="",D18=0),0,C18/(D18*(1-F18)))</f>
        <v/>
      </c>
    </row>
    <row r="19">
      <c r="A19" s="7" t="n"/>
      <c r="B19" s="7" t="n"/>
      <c r="C19" s="8" t="n"/>
      <c r="D19" s="7" t="n"/>
      <c r="E19" s="7" t="n"/>
      <c r="F19" s="13" t="n"/>
      <c r="G19" s="16">
        <f>IF(OR(A19="",D19=0),0,C19/(D19*(1-F19)))</f>
        <v/>
      </c>
    </row>
    <row r="20">
      <c r="A20" s="7" t="n"/>
      <c r="B20" s="7" t="n"/>
      <c r="C20" s="8" t="n"/>
      <c r="D20" s="7" t="n"/>
      <c r="E20" s="7" t="n"/>
      <c r="F20" s="13" t="n"/>
      <c r="G20" s="16">
        <f>IF(OR(A20="",D20=0),0,C20/(D20*(1-F20)))</f>
        <v/>
      </c>
    </row>
    <row r="21">
      <c r="A21" s="7" t="n"/>
      <c r="B21" s="7" t="n"/>
      <c r="C21" s="8" t="n"/>
      <c r="D21" s="7" t="n"/>
      <c r="E21" s="7" t="n"/>
      <c r="F21" s="13" t="n"/>
      <c r="G21" s="16">
        <f>IF(OR(A21="",D21=0),0,C21/(D21*(1-F21)))</f>
        <v/>
      </c>
    </row>
    <row r="22">
      <c r="A22" s="7" t="n"/>
      <c r="B22" s="7" t="n"/>
      <c r="C22" s="8" t="n"/>
      <c r="D22" s="7" t="n"/>
      <c r="E22" s="7" t="n"/>
      <c r="F22" s="13" t="n"/>
      <c r="G22" s="16">
        <f>IF(OR(A22="",D22=0),0,C22/(D22*(1-F22)))</f>
        <v/>
      </c>
    </row>
    <row r="23">
      <c r="A23" s="7" t="n"/>
      <c r="B23" s="7" t="n"/>
      <c r="C23" s="8" t="n"/>
      <c r="D23" s="7" t="n"/>
      <c r="E23" s="7" t="n"/>
      <c r="F23" s="13" t="n"/>
      <c r="G23" s="16">
        <f>IF(OR(A23="",D23=0),0,C23/(D23*(1-F23)))</f>
        <v/>
      </c>
    </row>
    <row r="24">
      <c r="A24" s="7" t="n"/>
      <c r="B24" s="7" t="n"/>
      <c r="C24" s="8" t="n"/>
      <c r="D24" s="7" t="n"/>
      <c r="E24" s="7" t="n"/>
      <c r="F24" s="13" t="n"/>
      <c r="G24" s="16">
        <f>IF(OR(A24="",D24=0),0,C24/(D24*(1-F24)))</f>
        <v/>
      </c>
    </row>
    <row r="25">
      <c r="A25" s="7" t="n"/>
      <c r="B25" s="7" t="n"/>
      <c r="C25" s="8" t="n"/>
      <c r="D25" s="7" t="n"/>
      <c r="E25" s="7" t="n"/>
      <c r="F25" s="13" t="n"/>
      <c r="G25" s="16">
        <f>IF(OR(A25="",D25=0),0,C25/(D25*(1-F25)))</f>
        <v/>
      </c>
    </row>
    <row r="26">
      <c r="A26" s="7" t="n"/>
      <c r="B26" s="7" t="n"/>
      <c r="C26" s="8" t="n"/>
      <c r="D26" s="7" t="n"/>
      <c r="E26" s="7" t="n"/>
      <c r="F26" s="13" t="n"/>
      <c r="G26" s="16">
        <f>IF(OR(A26="",D26=0),0,C26/(D26*(1-F26)))</f>
        <v/>
      </c>
    </row>
    <row r="27">
      <c r="A27" s="7" t="n"/>
      <c r="B27" s="7" t="n"/>
      <c r="C27" s="8" t="n"/>
      <c r="D27" s="7" t="n"/>
      <c r="E27" s="7" t="n"/>
      <c r="F27" s="13" t="n"/>
      <c r="G27" s="16">
        <f>IF(OR(A27="",D27=0),0,C27/(D27*(1-F27)))</f>
        <v/>
      </c>
    </row>
    <row r="28">
      <c r="A28" s="7" t="n"/>
      <c r="B28" s="7" t="n"/>
      <c r="C28" s="8" t="n"/>
      <c r="D28" s="7" t="n"/>
      <c r="E28" s="7" t="n"/>
      <c r="F28" s="13" t="n"/>
      <c r="G28" s="16">
        <f>IF(OR(A28="",D28=0),0,C28/(D28*(1-F28)))</f>
        <v/>
      </c>
    </row>
    <row r="29">
      <c r="A29" s="7" t="n"/>
      <c r="B29" s="7" t="n"/>
      <c r="C29" s="8" t="n"/>
      <c r="D29" s="7" t="n"/>
      <c r="E29" s="7" t="n"/>
      <c r="F29" s="13" t="n"/>
      <c r="G29" s="16">
        <f>IF(OR(A29="",D29=0),0,C29/(D29*(1-F29)))</f>
        <v/>
      </c>
    </row>
    <row r="30">
      <c r="A30" s="7" t="n"/>
      <c r="B30" s="7" t="n"/>
      <c r="C30" s="8" t="n"/>
      <c r="D30" s="7" t="n"/>
      <c r="E30" s="7" t="n"/>
      <c r="F30" s="13" t="n"/>
      <c r="G30" s="16">
        <f>IF(OR(A30="",D30=0),0,C30/(D30*(1-F30)))</f>
        <v/>
      </c>
    </row>
    <row r="31">
      <c r="A31" s="7" t="n"/>
      <c r="B31" s="7" t="n"/>
      <c r="C31" s="8" t="n"/>
      <c r="D31" s="7" t="n"/>
      <c r="E31" s="7" t="n"/>
      <c r="F31" s="13" t="n"/>
      <c r="G31" s="16">
        <f>IF(OR(A31="",D31=0),0,C31/(D31*(1-F31)))</f>
        <v/>
      </c>
    </row>
    <row r="32">
      <c r="A32" s="7" t="n"/>
      <c r="B32" s="7" t="n"/>
      <c r="C32" s="8" t="n"/>
      <c r="D32" s="7" t="n"/>
      <c r="E32" s="7" t="n"/>
      <c r="F32" s="13" t="n"/>
      <c r="G32" s="16">
        <f>IF(OR(A32="",D32=0),0,C32/(D32*(1-F32)))</f>
        <v/>
      </c>
    </row>
    <row r="33">
      <c r="A33" s="7" t="n"/>
      <c r="B33" s="7" t="n"/>
      <c r="C33" s="8" t="n"/>
      <c r="D33" s="7" t="n"/>
      <c r="E33" s="7" t="n"/>
      <c r="F33" s="13" t="n"/>
      <c r="G33" s="16">
        <f>IF(OR(A33="",D33=0),0,C33/(D33*(1-F33)))</f>
        <v/>
      </c>
    </row>
    <row r="34">
      <c r="A34" s="7" t="n"/>
      <c r="B34" s="7" t="n"/>
      <c r="C34" s="8" t="n"/>
      <c r="D34" s="7" t="n"/>
      <c r="E34" s="7" t="n"/>
      <c r="F34" s="13" t="n"/>
      <c r="G34" s="16">
        <f>IF(OR(A34="",D34=0),0,C34/(D34*(1-F34)))</f>
        <v/>
      </c>
    </row>
    <row r="35">
      <c r="A35" s="7" t="n"/>
      <c r="B35" s="7" t="n"/>
      <c r="C35" s="8" t="n"/>
      <c r="D35" s="7" t="n"/>
      <c r="E35" s="7" t="n"/>
      <c r="F35" s="13" t="n"/>
      <c r="G35" s="16">
        <f>IF(OR(A35="",D35=0),0,C35/(D35*(1-F35)))</f>
        <v/>
      </c>
    </row>
    <row r="36">
      <c r="A36" s="7" t="n"/>
      <c r="B36" s="7" t="n"/>
      <c r="C36" s="8" t="n"/>
      <c r="D36" s="7" t="n"/>
      <c r="E36" s="7" t="n"/>
      <c r="F36" s="13" t="n"/>
      <c r="G36" s="16">
        <f>IF(OR(A36="",D36=0),0,C36/(D36*(1-F36)))</f>
        <v/>
      </c>
    </row>
    <row r="37">
      <c r="A37" s="7" t="n"/>
      <c r="B37" s="7" t="n"/>
      <c r="C37" s="8" t="n"/>
      <c r="D37" s="7" t="n"/>
      <c r="E37" s="7" t="n"/>
      <c r="F37" s="13" t="n"/>
      <c r="G37" s="16">
        <f>IF(OR(A37="",D37=0),0,C37/(D37*(1-F37)))</f>
        <v/>
      </c>
    </row>
    <row r="38">
      <c r="A38" s="7" t="n"/>
      <c r="B38" s="7" t="n"/>
      <c r="C38" s="8" t="n"/>
      <c r="D38" s="7" t="n"/>
      <c r="E38" s="7" t="n"/>
      <c r="F38" s="13" t="n"/>
      <c r="G38" s="16">
        <f>IF(OR(A38="",D38=0),0,C38/(D38*(1-F38)))</f>
        <v/>
      </c>
    </row>
    <row r="39">
      <c r="A39" s="7" t="n"/>
      <c r="B39" s="7" t="n"/>
      <c r="C39" s="8" t="n"/>
      <c r="D39" s="7" t="n"/>
      <c r="E39" s="7" t="n"/>
      <c r="F39" s="13" t="n"/>
      <c r="G39" s="16">
        <f>IF(OR(A39="",D39=0),0,C39/(D39*(1-F39)))</f>
        <v/>
      </c>
    </row>
    <row r="40">
      <c r="A40" s="7" t="n"/>
      <c r="B40" s="7" t="n"/>
      <c r="C40" s="8" t="n"/>
      <c r="D40" s="7" t="n"/>
      <c r="E40" s="7" t="n"/>
      <c r="F40" s="13" t="n"/>
      <c r="G40" s="16">
        <f>IF(OR(A40="",D40=0),0,C40/(D40*(1-F40)))</f>
        <v/>
      </c>
    </row>
    <row r="41">
      <c r="A41" s="7" t="n"/>
      <c r="B41" s="7" t="n"/>
      <c r="C41" s="8" t="n"/>
      <c r="D41" s="7" t="n"/>
      <c r="E41" s="7" t="n"/>
      <c r="F41" s="13" t="n"/>
      <c r="G41" s="16">
        <f>IF(OR(A41="",D41=0),0,C41/(D41*(1-F41)))</f>
        <v/>
      </c>
    </row>
    <row r="42">
      <c r="A42" s="7" t="n"/>
      <c r="B42" s="7" t="n"/>
      <c r="C42" s="8" t="n"/>
      <c r="D42" s="7" t="n"/>
      <c r="E42" s="7" t="n"/>
      <c r="F42" s="13" t="n"/>
      <c r="G42" s="16">
        <f>IF(OR(A42="",D42=0),0,C42/(D42*(1-F42)))</f>
        <v/>
      </c>
    </row>
    <row r="43">
      <c r="A43" s="7" t="n"/>
      <c r="B43" s="7" t="n"/>
      <c r="C43" s="8" t="n"/>
      <c r="D43" s="7" t="n"/>
      <c r="E43" s="7" t="n"/>
      <c r="F43" s="13" t="n"/>
      <c r="G43" s="16">
        <f>IF(OR(A43="",D43=0),0,C43/(D43*(1-F43)))</f>
        <v/>
      </c>
    </row>
    <row r="44">
      <c r="A44" s="7" t="n"/>
      <c r="B44" s="7" t="n"/>
      <c r="C44" s="8" t="n"/>
      <c r="D44" s="7" t="n"/>
      <c r="E44" s="7" t="n"/>
      <c r="F44" s="13" t="n"/>
      <c r="G44" s="16">
        <f>IF(OR(A44="",D44=0),0,C44/(D44*(1-F44)))</f>
        <v/>
      </c>
    </row>
    <row r="45">
      <c r="A45" s="7" t="n"/>
      <c r="B45" s="7" t="n"/>
      <c r="C45" s="8" t="n"/>
      <c r="D45" s="7" t="n"/>
      <c r="E45" s="7" t="n"/>
      <c r="F45" s="13" t="n"/>
      <c r="G45" s="16">
        <f>IF(OR(A45="",D45=0),0,C45/(D45*(1-F45)))</f>
        <v/>
      </c>
    </row>
    <row r="46">
      <c r="A46" s="7" t="n"/>
      <c r="B46" s="7" t="n"/>
      <c r="C46" s="8" t="n"/>
      <c r="D46" s="7" t="n"/>
      <c r="E46" s="7" t="n"/>
      <c r="F46" s="13" t="n"/>
      <c r="G46" s="16">
        <f>IF(OR(A46="",D46=0),0,C46/(D46*(1-F46)))</f>
        <v/>
      </c>
    </row>
    <row r="47">
      <c r="A47" s="7" t="n"/>
      <c r="B47" s="7" t="n"/>
      <c r="C47" s="8" t="n"/>
      <c r="D47" s="7" t="n"/>
      <c r="E47" s="7" t="n"/>
      <c r="F47" s="13" t="n"/>
      <c r="G47" s="16">
        <f>IF(OR(A47="",D47=0),0,C47/(D47*(1-F47)))</f>
        <v/>
      </c>
    </row>
    <row r="48">
      <c r="A48" s="7" t="n"/>
      <c r="B48" s="7" t="n"/>
      <c r="C48" s="8" t="n"/>
      <c r="D48" s="7" t="n"/>
      <c r="E48" s="7" t="n"/>
      <c r="F48" s="13" t="n"/>
      <c r="G48" s="16">
        <f>IF(OR(A48="",D48=0),0,C48/(D48*(1-F48)))</f>
        <v/>
      </c>
    </row>
    <row r="49">
      <c r="A49" s="7" t="n"/>
      <c r="B49" s="7" t="n"/>
      <c r="C49" s="8" t="n"/>
      <c r="D49" s="7" t="n"/>
      <c r="E49" s="7" t="n"/>
      <c r="F49" s="13" t="n"/>
      <c r="G49" s="16">
        <f>IF(OR(A49="",D49=0),0,C49/(D49*(1-F49)))</f>
        <v/>
      </c>
    </row>
    <row r="50">
      <c r="A50" s="7" t="n"/>
      <c r="B50" s="7" t="n"/>
      <c r="C50" s="8" t="n"/>
      <c r="D50" s="7" t="n"/>
      <c r="E50" s="7" t="n"/>
      <c r="F50" s="13" t="n"/>
      <c r="G50" s="16">
        <f>IF(OR(A50="",D50=0),0,C50/(D50*(1-F50)))</f>
        <v/>
      </c>
    </row>
    <row r="51">
      <c r="A51" s="7" t="n"/>
      <c r="B51" s="7" t="n"/>
      <c r="C51" s="8" t="n"/>
      <c r="D51" s="7" t="n"/>
      <c r="E51" s="7" t="n"/>
      <c r="F51" s="13" t="n"/>
      <c r="G51" s="16">
        <f>IF(OR(A51="",D51=0),0,C51/(D51*(1-F51)))</f>
        <v/>
      </c>
    </row>
    <row r="52">
      <c r="A52" s="7" t="n"/>
      <c r="B52" s="7" t="n"/>
      <c r="C52" s="8" t="n"/>
      <c r="D52" s="7" t="n"/>
      <c r="E52" s="7" t="n"/>
      <c r="F52" s="13" t="n"/>
      <c r="G52" s="16">
        <f>IF(OR(A52="",D52=0),0,C52/(D52*(1-F52)))</f>
        <v/>
      </c>
    </row>
    <row r="53">
      <c r="A53" s="5" t="n"/>
      <c r="B53" s="5" t="n"/>
      <c r="C53" s="5" t="n"/>
      <c r="D53" s="5" t="n"/>
      <c r="E53" s="5" t="n"/>
      <c r="F53" s="5" t="n"/>
      <c r="G53" s="5" t="n"/>
    </row>
    <row r="54">
      <c r="A54" s="17" t="inlineStr">
        <is>
          <t>Valores de exemplo (fictícios): substitua pelos preços reais ou use a pesquisa de mercado do sistema.</t>
        </is>
      </c>
      <c r="B54" s="5" t="n"/>
      <c r="C54" s="5" t="n"/>
      <c r="D54" s="5" t="n"/>
      <c r="E54" s="5" t="n"/>
      <c r="F54" s="5" t="n"/>
      <c r="G54"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workbookViewId="0">
      <selection activeCell="A1" sqref="A1"/>
    </sheetView>
  </sheetViews>
  <sheetFormatPr baseColWidth="8" defaultRowHeight="15"/>
  <cols>
    <col width="44" customWidth="1" min="1" max="1"/>
    <col width="34" customWidth="1" min="2" max="2"/>
    <col width="22" customWidth="1" min="3" max="3"/>
    <col width="18" customWidth="1" min="4" max="4"/>
    <col width="18" customWidth="1" min="5" max="5"/>
  </cols>
  <sheetData>
    <row r="1" ht="32" customHeight="1">
      <c r="A1" s="6" t="inlineStr">
        <is>
          <t>Procedimento</t>
        </is>
      </c>
      <c r="B1" s="6" t="inlineStr">
        <is>
          <t>Material</t>
        </is>
      </c>
      <c r="C1" s="6" t="inlineStr">
        <is>
          <t>Quantidade (unidades de uso)</t>
        </is>
      </c>
      <c r="D1" s="6" t="inlineStr">
        <is>
          <t>Custo unitário (R$)</t>
        </is>
      </c>
      <c r="E1" s="6" t="inlineStr">
        <is>
          <t>Custo da linha (R$)</t>
        </is>
      </c>
    </row>
    <row r="2">
      <c r="A2" s="7" t="inlineStr">
        <is>
          <t>Profilaxia</t>
        </is>
      </c>
      <c r="B2" s="7" t="inlineStr">
        <is>
          <t>Pasta profilática</t>
        </is>
      </c>
      <c r="C2" s="7" t="n">
        <v>3</v>
      </c>
      <c r="D2" s="16">
        <f>IF(B2="",0,IFERROR(INDEX(Materiais!$G$2:$G$52,MATCH(B2,Materiais!$A$2:$A$52,0)),0))</f>
        <v/>
      </c>
      <c r="E2" s="18">
        <f>IF(B2="",0,C2*D2)</f>
        <v/>
      </c>
    </row>
    <row r="3">
      <c r="A3" s="7" t="inlineStr">
        <is>
          <t>Profilaxia</t>
        </is>
      </c>
      <c r="B3" s="7" t="inlineStr">
        <is>
          <t>Luvas de procedimento</t>
        </is>
      </c>
      <c r="C3" s="7" t="n">
        <v>2</v>
      </c>
      <c r="D3" s="16">
        <f>IF(B3="",0,IFERROR(INDEX(Materiais!$G$2:$G$52,MATCH(B3,Materiais!$A$2:$A$52,0)),0))</f>
        <v/>
      </c>
      <c r="E3" s="18">
        <f>IF(B3="",0,C3*D3)</f>
        <v/>
      </c>
    </row>
    <row r="4">
      <c r="A4" s="7" t="inlineStr">
        <is>
          <t>Profilaxia</t>
        </is>
      </c>
      <c r="B4" s="7" t="inlineStr">
        <is>
          <t>Sugador descartável</t>
        </is>
      </c>
      <c r="C4" s="7" t="n">
        <v>1</v>
      </c>
      <c r="D4" s="16">
        <f>IF(B4="",0,IFERROR(INDEX(Materiais!$G$2:$G$52,MATCH(B4,Materiais!$A$2:$A$52,0)),0))</f>
        <v/>
      </c>
      <c r="E4" s="18">
        <f>IF(B4="",0,C4*D4)</f>
        <v/>
      </c>
    </row>
    <row r="5">
      <c r="A5" s="7" t="inlineStr">
        <is>
          <t>Restauração simples 1 face</t>
        </is>
      </c>
      <c r="B5" s="7" t="inlineStr">
        <is>
          <t>Resina composta A2</t>
        </is>
      </c>
      <c r="C5" s="7" t="n">
        <v>2</v>
      </c>
      <c r="D5" s="16">
        <f>IF(B5="",0,IFERROR(INDEX(Materiais!$G$2:$G$52,MATCH(B5,Materiais!$A$2:$A$52,0)),0))</f>
        <v/>
      </c>
      <c r="E5" s="18">
        <f>IF(B5="",0,C5*D5)</f>
        <v/>
      </c>
    </row>
    <row r="6">
      <c r="A6" s="7" t="inlineStr">
        <is>
          <t>Restauração simples 1 face</t>
        </is>
      </c>
      <c r="B6" s="7" t="inlineStr">
        <is>
          <t>Sistema adesivo</t>
        </is>
      </c>
      <c r="C6" s="7" t="n">
        <v>1</v>
      </c>
      <c r="D6" s="16">
        <f>IF(B6="",0,IFERROR(INDEX(Materiais!$G$2:$G$52,MATCH(B6,Materiais!$A$2:$A$52,0)),0))</f>
        <v/>
      </c>
      <c r="E6" s="18">
        <f>IF(B6="",0,C6*D6)</f>
        <v/>
      </c>
    </row>
    <row r="7">
      <c r="A7" s="7" t="inlineStr">
        <is>
          <t>Restauração simples 1 face</t>
        </is>
      </c>
      <c r="B7" s="7" t="inlineStr">
        <is>
          <t>Anestésico (tubete)</t>
        </is>
      </c>
      <c r="C7" s="7" t="n">
        <v>1</v>
      </c>
      <c r="D7" s="16">
        <f>IF(B7="",0,IFERROR(INDEX(Materiais!$G$2:$G$52,MATCH(B7,Materiais!$A$2:$A$52,0)),0))</f>
        <v/>
      </c>
      <c r="E7" s="18">
        <f>IF(B7="",0,C7*D7)</f>
        <v/>
      </c>
    </row>
    <row r="8">
      <c r="A8" s="7" t="inlineStr">
        <is>
          <t>Restauração simples 1 face</t>
        </is>
      </c>
      <c r="B8" s="7" t="inlineStr">
        <is>
          <t>Luvas de procedimento</t>
        </is>
      </c>
      <c r="C8" s="7" t="n">
        <v>2</v>
      </c>
      <c r="D8" s="16">
        <f>IF(B8="",0,IFERROR(INDEX(Materiais!$G$2:$G$52,MATCH(B8,Materiais!$A$2:$A$52,0)),0))</f>
        <v/>
      </c>
      <c r="E8" s="18">
        <f>IF(B8="",0,C8*D8)</f>
        <v/>
      </c>
    </row>
    <row r="9">
      <c r="A9" s="7" t="n"/>
      <c r="B9" s="7" t="n"/>
      <c r="C9" s="7" t="n"/>
      <c r="D9" s="16">
        <f>IF(B9="",0,IFERROR(INDEX(Materiais!$G$2:$G$52,MATCH(B9,Materiais!$A$2:$A$52,0)),0))</f>
        <v/>
      </c>
      <c r="E9" s="18">
        <f>IF(B9="",0,C9*D9)</f>
        <v/>
      </c>
    </row>
    <row r="10">
      <c r="A10" s="7" t="n"/>
      <c r="B10" s="7" t="n"/>
      <c r="C10" s="7" t="n"/>
      <c r="D10" s="16">
        <f>IF(B10="",0,IFERROR(INDEX(Materiais!$G$2:$G$52,MATCH(B10,Materiais!$A$2:$A$52,0)),0))</f>
        <v/>
      </c>
      <c r="E10" s="18">
        <f>IF(B10="",0,C10*D10)</f>
        <v/>
      </c>
    </row>
    <row r="11">
      <c r="A11" s="7" t="n"/>
      <c r="B11" s="7" t="n"/>
      <c r="C11" s="7" t="n"/>
      <c r="D11" s="16">
        <f>IF(B11="",0,IFERROR(INDEX(Materiais!$G$2:$G$52,MATCH(B11,Materiais!$A$2:$A$52,0)),0))</f>
        <v/>
      </c>
      <c r="E11" s="18">
        <f>IF(B11="",0,C11*D11)</f>
        <v/>
      </c>
    </row>
    <row r="12">
      <c r="A12" s="7" t="n"/>
      <c r="B12" s="7" t="n"/>
      <c r="C12" s="7" t="n"/>
      <c r="D12" s="16">
        <f>IF(B12="",0,IFERROR(INDEX(Materiais!$G$2:$G$52,MATCH(B12,Materiais!$A$2:$A$52,0)),0))</f>
        <v/>
      </c>
      <c r="E12" s="18">
        <f>IF(B12="",0,C12*D12)</f>
        <v/>
      </c>
    </row>
    <row r="13">
      <c r="A13" s="7" t="n"/>
      <c r="B13" s="7" t="n"/>
      <c r="C13" s="7" t="n"/>
      <c r="D13" s="16">
        <f>IF(B13="",0,IFERROR(INDEX(Materiais!$G$2:$G$52,MATCH(B13,Materiais!$A$2:$A$52,0)),0))</f>
        <v/>
      </c>
      <c r="E13" s="18">
        <f>IF(B13="",0,C13*D13)</f>
        <v/>
      </c>
    </row>
    <row r="14">
      <c r="A14" s="7" t="n"/>
      <c r="B14" s="7" t="n"/>
      <c r="C14" s="7" t="n"/>
      <c r="D14" s="16">
        <f>IF(B14="",0,IFERROR(INDEX(Materiais!$G$2:$G$52,MATCH(B14,Materiais!$A$2:$A$52,0)),0))</f>
        <v/>
      </c>
      <c r="E14" s="18">
        <f>IF(B14="",0,C14*D14)</f>
        <v/>
      </c>
    </row>
    <row r="15">
      <c r="A15" s="7" t="n"/>
      <c r="B15" s="7" t="n"/>
      <c r="C15" s="7" t="n"/>
      <c r="D15" s="16">
        <f>IF(B15="",0,IFERROR(INDEX(Materiais!$G$2:$G$52,MATCH(B15,Materiais!$A$2:$A$52,0)),0))</f>
        <v/>
      </c>
      <c r="E15" s="18">
        <f>IF(B15="",0,C15*D15)</f>
        <v/>
      </c>
    </row>
    <row r="16">
      <c r="A16" s="7" t="n"/>
      <c r="B16" s="7" t="n"/>
      <c r="C16" s="7" t="n"/>
      <c r="D16" s="16">
        <f>IF(B16="",0,IFERROR(INDEX(Materiais!$G$2:$G$52,MATCH(B16,Materiais!$A$2:$A$52,0)),0))</f>
        <v/>
      </c>
      <c r="E16" s="18">
        <f>IF(B16="",0,C16*D16)</f>
        <v/>
      </c>
    </row>
    <row r="17">
      <c r="A17" s="7" t="n"/>
      <c r="B17" s="7" t="n"/>
      <c r="C17" s="7" t="n"/>
      <c r="D17" s="16">
        <f>IF(B17="",0,IFERROR(INDEX(Materiais!$G$2:$G$52,MATCH(B17,Materiais!$A$2:$A$52,0)),0))</f>
        <v/>
      </c>
      <c r="E17" s="18">
        <f>IF(B17="",0,C17*D17)</f>
        <v/>
      </c>
    </row>
    <row r="18">
      <c r="A18" s="7" t="n"/>
      <c r="B18" s="7" t="n"/>
      <c r="C18" s="7" t="n"/>
      <c r="D18" s="16">
        <f>IF(B18="",0,IFERROR(INDEX(Materiais!$G$2:$G$52,MATCH(B18,Materiais!$A$2:$A$52,0)),0))</f>
        <v/>
      </c>
      <c r="E18" s="18">
        <f>IF(B18="",0,C18*D18)</f>
        <v/>
      </c>
    </row>
    <row r="19">
      <c r="A19" s="7" t="n"/>
      <c r="B19" s="7" t="n"/>
      <c r="C19" s="7" t="n"/>
      <c r="D19" s="16">
        <f>IF(B19="",0,IFERROR(INDEX(Materiais!$G$2:$G$52,MATCH(B19,Materiais!$A$2:$A$52,0)),0))</f>
        <v/>
      </c>
      <c r="E19" s="18">
        <f>IF(B19="",0,C19*D19)</f>
        <v/>
      </c>
    </row>
    <row r="20">
      <c r="A20" s="7" t="n"/>
      <c r="B20" s="7" t="n"/>
      <c r="C20" s="7" t="n"/>
      <c r="D20" s="16">
        <f>IF(B20="",0,IFERROR(INDEX(Materiais!$G$2:$G$52,MATCH(B20,Materiais!$A$2:$A$52,0)),0))</f>
        <v/>
      </c>
      <c r="E20" s="18">
        <f>IF(B20="",0,C20*D20)</f>
        <v/>
      </c>
    </row>
    <row r="21">
      <c r="A21" s="7" t="n"/>
      <c r="B21" s="7" t="n"/>
      <c r="C21" s="7" t="n"/>
      <c r="D21" s="16">
        <f>IF(B21="",0,IFERROR(INDEX(Materiais!$G$2:$G$52,MATCH(B21,Materiais!$A$2:$A$52,0)),0))</f>
        <v/>
      </c>
      <c r="E21" s="18">
        <f>IF(B21="",0,C21*D21)</f>
        <v/>
      </c>
    </row>
    <row r="22">
      <c r="A22" s="7" t="n"/>
      <c r="B22" s="7" t="n"/>
      <c r="C22" s="7" t="n"/>
      <c r="D22" s="16">
        <f>IF(B22="",0,IFERROR(INDEX(Materiais!$G$2:$G$52,MATCH(B22,Materiais!$A$2:$A$52,0)),0))</f>
        <v/>
      </c>
      <c r="E22" s="18">
        <f>IF(B22="",0,C22*D22)</f>
        <v/>
      </c>
    </row>
    <row r="23">
      <c r="A23" s="7" t="n"/>
      <c r="B23" s="7" t="n"/>
      <c r="C23" s="7" t="n"/>
      <c r="D23" s="16">
        <f>IF(B23="",0,IFERROR(INDEX(Materiais!$G$2:$G$52,MATCH(B23,Materiais!$A$2:$A$52,0)),0))</f>
        <v/>
      </c>
      <c r="E23" s="18">
        <f>IF(B23="",0,C23*D23)</f>
        <v/>
      </c>
    </row>
    <row r="24">
      <c r="A24" s="7" t="n"/>
      <c r="B24" s="7" t="n"/>
      <c r="C24" s="7" t="n"/>
      <c r="D24" s="16">
        <f>IF(B24="",0,IFERROR(INDEX(Materiais!$G$2:$G$52,MATCH(B24,Materiais!$A$2:$A$52,0)),0))</f>
        <v/>
      </c>
      <c r="E24" s="18">
        <f>IF(B24="",0,C24*D24)</f>
        <v/>
      </c>
    </row>
    <row r="25">
      <c r="A25" s="7" t="n"/>
      <c r="B25" s="7" t="n"/>
      <c r="C25" s="7" t="n"/>
      <c r="D25" s="16">
        <f>IF(B25="",0,IFERROR(INDEX(Materiais!$G$2:$G$52,MATCH(B25,Materiais!$A$2:$A$52,0)),0))</f>
        <v/>
      </c>
      <c r="E25" s="18">
        <f>IF(B25="",0,C25*D25)</f>
        <v/>
      </c>
    </row>
    <row r="26">
      <c r="A26" s="7" t="n"/>
      <c r="B26" s="7" t="n"/>
      <c r="C26" s="7" t="n"/>
      <c r="D26" s="16">
        <f>IF(B26="",0,IFERROR(INDEX(Materiais!$G$2:$G$52,MATCH(B26,Materiais!$A$2:$A$52,0)),0))</f>
        <v/>
      </c>
      <c r="E26" s="18">
        <f>IF(B26="",0,C26*D26)</f>
        <v/>
      </c>
    </row>
    <row r="27">
      <c r="A27" s="7" t="n"/>
      <c r="B27" s="7" t="n"/>
      <c r="C27" s="7" t="n"/>
      <c r="D27" s="16">
        <f>IF(B27="",0,IFERROR(INDEX(Materiais!$G$2:$G$52,MATCH(B27,Materiais!$A$2:$A$52,0)),0))</f>
        <v/>
      </c>
      <c r="E27" s="18">
        <f>IF(B27="",0,C27*D27)</f>
        <v/>
      </c>
    </row>
    <row r="28">
      <c r="A28" s="7" t="n"/>
      <c r="B28" s="7" t="n"/>
      <c r="C28" s="7" t="n"/>
      <c r="D28" s="16">
        <f>IF(B28="",0,IFERROR(INDEX(Materiais!$G$2:$G$52,MATCH(B28,Materiais!$A$2:$A$52,0)),0))</f>
        <v/>
      </c>
      <c r="E28" s="18">
        <f>IF(B28="",0,C28*D28)</f>
        <v/>
      </c>
    </row>
    <row r="29">
      <c r="A29" s="7" t="n"/>
      <c r="B29" s="7" t="n"/>
      <c r="C29" s="7" t="n"/>
      <c r="D29" s="16">
        <f>IF(B29="",0,IFERROR(INDEX(Materiais!$G$2:$G$52,MATCH(B29,Materiais!$A$2:$A$52,0)),0))</f>
        <v/>
      </c>
      <c r="E29" s="18">
        <f>IF(B29="",0,C29*D29)</f>
        <v/>
      </c>
    </row>
    <row r="30">
      <c r="A30" s="7" t="n"/>
      <c r="B30" s="7" t="n"/>
      <c r="C30" s="7" t="n"/>
      <c r="D30" s="16">
        <f>IF(B30="",0,IFERROR(INDEX(Materiais!$G$2:$G$52,MATCH(B30,Materiais!$A$2:$A$52,0)),0))</f>
        <v/>
      </c>
      <c r="E30" s="18">
        <f>IF(B30="",0,C30*D30)</f>
        <v/>
      </c>
    </row>
    <row r="31">
      <c r="A31" s="7" t="n"/>
      <c r="B31" s="7" t="n"/>
      <c r="C31" s="7" t="n"/>
      <c r="D31" s="16">
        <f>IF(B31="",0,IFERROR(INDEX(Materiais!$G$2:$G$52,MATCH(B31,Materiais!$A$2:$A$52,0)),0))</f>
        <v/>
      </c>
      <c r="E31" s="18">
        <f>IF(B31="",0,C31*D31)</f>
        <v/>
      </c>
    </row>
    <row r="32">
      <c r="A32" s="7" t="n"/>
      <c r="B32" s="7" t="n"/>
      <c r="C32" s="7" t="n"/>
      <c r="D32" s="16">
        <f>IF(B32="",0,IFERROR(INDEX(Materiais!$G$2:$G$52,MATCH(B32,Materiais!$A$2:$A$52,0)),0))</f>
        <v/>
      </c>
      <c r="E32" s="18">
        <f>IF(B32="",0,C32*D32)</f>
        <v/>
      </c>
    </row>
    <row r="33">
      <c r="A33" s="7" t="n"/>
      <c r="B33" s="7" t="n"/>
      <c r="C33" s="7" t="n"/>
      <c r="D33" s="16">
        <f>IF(B33="",0,IFERROR(INDEX(Materiais!$G$2:$G$52,MATCH(B33,Materiais!$A$2:$A$52,0)),0))</f>
        <v/>
      </c>
      <c r="E33" s="18">
        <f>IF(B33="",0,C33*D33)</f>
        <v/>
      </c>
    </row>
    <row r="34">
      <c r="A34" s="7" t="n"/>
      <c r="B34" s="7" t="n"/>
      <c r="C34" s="7" t="n"/>
      <c r="D34" s="16">
        <f>IF(B34="",0,IFERROR(INDEX(Materiais!$G$2:$G$52,MATCH(B34,Materiais!$A$2:$A$52,0)),0))</f>
        <v/>
      </c>
      <c r="E34" s="18">
        <f>IF(B34="",0,C34*D34)</f>
        <v/>
      </c>
    </row>
    <row r="35">
      <c r="A35" s="7" t="n"/>
      <c r="B35" s="7" t="n"/>
      <c r="C35" s="7" t="n"/>
      <c r="D35" s="16">
        <f>IF(B35="",0,IFERROR(INDEX(Materiais!$G$2:$G$52,MATCH(B35,Materiais!$A$2:$A$52,0)),0))</f>
        <v/>
      </c>
      <c r="E35" s="18">
        <f>IF(B35="",0,C35*D35)</f>
        <v/>
      </c>
    </row>
    <row r="36">
      <c r="A36" s="7" t="n"/>
      <c r="B36" s="7" t="n"/>
      <c r="C36" s="7" t="n"/>
      <c r="D36" s="16">
        <f>IF(B36="",0,IFERROR(INDEX(Materiais!$G$2:$G$52,MATCH(B36,Materiais!$A$2:$A$52,0)),0))</f>
        <v/>
      </c>
      <c r="E36" s="18">
        <f>IF(B36="",0,C36*D36)</f>
        <v/>
      </c>
    </row>
    <row r="37">
      <c r="A37" s="7" t="n"/>
      <c r="B37" s="7" t="n"/>
      <c r="C37" s="7" t="n"/>
      <c r="D37" s="16">
        <f>IF(B37="",0,IFERROR(INDEX(Materiais!$G$2:$G$52,MATCH(B37,Materiais!$A$2:$A$52,0)),0))</f>
        <v/>
      </c>
      <c r="E37" s="18">
        <f>IF(B37="",0,C37*D37)</f>
        <v/>
      </c>
    </row>
    <row r="38">
      <c r="A38" s="7" t="n"/>
      <c r="B38" s="7" t="n"/>
      <c r="C38" s="7" t="n"/>
      <c r="D38" s="16">
        <f>IF(B38="",0,IFERROR(INDEX(Materiais!$G$2:$G$52,MATCH(B38,Materiais!$A$2:$A$52,0)),0))</f>
        <v/>
      </c>
      <c r="E38" s="18">
        <f>IF(B38="",0,C38*D38)</f>
        <v/>
      </c>
    </row>
    <row r="39">
      <c r="A39" s="7" t="n"/>
      <c r="B39" s="7" t="n"/>
      <c r="C39" s="7" t="n"/>
      <c r="D39" s="16">
        <f>IF(B39="",0,IFERROR(INDEX(Materiais!$G$2:$G$52,MATCH(B39,Materiais!$A$2:$A$52,0)),0))</f>
        <v/>
      </c>
      <c r="E39" s="18">
        <f>IF(B39="",0,C39*D39)</f>
        <v/>
      </c>
    </row>
    <row r="40">
      <c r="A40" s="7" t="n"/>
      <c r="B40" s="7" t="n"/>
      <c r="C40" s="7" t="n"/>
      <c r="D40" s="16">
        <f>IF(B40="",0,IFERROR(INDEX(Materiais!$G$2:$G$52,MATCH(B40,Materiais!$A$2:$A$52,0)),0))</f>
        <v/>
      </c>
      <c r="E40" s="18">
        <f>IF(B40="",0,C40*D40)</f>
        <v/>
      </c>
    </row>
    <row r="41">
      <c r="A41" s="7" t="n"/>
      <c r="B41" s="7" t="n"/>
      <c r="C41" s="7" t="n"/>
      <c r="D41" s="16">
        <f>IF(B41="",0,IFERROR(INDEX(Materiais!$G$2:$G$52,MATCH(B41,Materiais!$A$2:$A$52,0)),0))</f>
        <v/>
      </c>
      <c r="E41" s="18">
        <f>IF(B41="",0,C41*D41)</f>
        <v/>
      </c>
    </row>
    <row r="42">
      <c r="A42" s="7" t="n"/>
      <c r="B42" s="7" t="n"/>
      <c r="C42" s="7" t="n"/>
      <c r="D42" s="16">
        <f>IF(B42="",0,IFERROR(INDEX(Materiais!$G$2:$G$52,MATCH(B42,Materiais!$A$2:$A$52,0)),0))</f>
        <v/>
      </c>
      <c r="E42" s="18">
        <f>IF(B42="",0,C42*D42)</f>
        <v/>
      </c>
    </row>
    <row r="43">
      <c r="A43" s="7" t="n"/>
      <c r="B43" s="7" t="n"/>
      <c r="C43" s="7" t="n"/>
      <c r="D43" s="16">
        <f>IF(B43="",0,IFERROR(INDEX(Materiais!$G$2:$G$52,MATCH(B43,Materiais!$A$2:$A$52,0)),0))</f>
        <v/>
      </c>
      <c r="E43" s="18">
        <f>IF(B43="",0,C43*D43)</f>
        <v/>
      </c>
    </row>
    <row r="44">
      <c r="A44" s="7" t="n"/>
      <c r="B44" s="7" t="n"/>
      <c r="C44" s="7" t="n"/>
      <c r="D44" s="16">
        <f>IF(B44="",0,IFERROR(INDEX(Materiais!$G$2:$G$52,MATCH(B44,Materiais!$A$2:$A$52,0)),0))</f>
        <v/>
      </c>
      <c r="E44" s="18">
        <f>IF(B44="",0,C44*D44)</f>
        <v/>
      </c>
    </row>
    <row r="45">
      <c r="A45" s="7" t="n"/>
      <c r="B45" s="7" t="n"/>
      <c r="C45" s="7" t="n"/>
      <c r="D45" s="16">
        <f>IF(B45="",0,IFERROR(INDEX(Materiais!$G$2:$G$52,MATCH(B45,Materiais!$A$2:$A$52,0)),0))</f>
        <v/>
      </c>
      <c r="E45" s="18">
        <f>IF(B45="",0,C45*D45)</f>
        <v/>
      </c>
    </row>
    <row r="46">
      <c r="A46" s="7" t="n"/>
      <c r="B46" s="7" t="n"/>
      <c r="C46" s="7" t="n"/>
      <c r="D46" s="16">
        <f>IF(B46="",0,IFERROR(INDEX(Materiais!$G$2:$G$52,MATCH(B46,Materiais!$A$2:$A$52,0)),0))</f>
        <v/>
      </c>
      <c r="E46" s="18">
        <f>IF(B46="",0,C46*D46)</f>
        <v/>
      </c>
    </row>
    <row r="47">
      <c r="A47" s="7" t="n"/>
      <c r="B47" s="7" t="n"/>
      <c r="C47" s="7" t="n"/>
      <c r="D47" s="16">
        <f>IF(B47="",0,IFERROR(INDEX(Materiais!$G$2:$G$52,MATCH(B47,Materiais!$A$2:$A$52,0)),0))</f>
        <v/>
      </c>
      <c r="E47" s="18">
        <f>IF(B47="",0,C47*D47)</f>
        <v/>
      </c>
    </row>
    <row r="48">
      <c r="A48" s="7" t="n"/>
      <c r="B48" s="7" t="n"/>
      <c r="C48" s="7" t="n"/>
      <c r="D48" s="16">
        <f>IF(B48="",0,IFERROR(INDEX(Materiais!$G$2:$G$52,MATCH(B48,Materiais!$A$2:$A$52,0)),0))</f>
        <v/>
      </c>
      <c r="E48" s="18">
        <f>IF(B48="",0,C48*D48)</f>
        <v/>
      </c>
    </row>
    <row r="49">
      <c r="A49" s="7" t="n"/>
      <c r="B49" s="7" t="n"/>
      <c r="C49" s="7" t="n"/>
      <c r="D49" s="16">
        <f>IF(B49="",0,IFERROR(INDEX(Materiais!$G$2:$G$52,MATCH(B49,Materiais!$A$2:$A$52,0)),0))</f>
        <v/>
      </c>
      <c r="E49" s="18">
        <f>IF(B49="",0,C49*D49)</f>
        <v/>
      </c>
    </row>
    <row r="50">
      <c r="A50" s="7" t="n"/>
      <c r="B50" s="7" t="n"/>
      <c r="C50" s="7" t="n"/>
      <c r="D50" s="16">
        <f>IF(B50="",0,IFERROR(INDEX(Materiais!$G$2:$G$52,MATCH(B50,Materiais!$A$2:$A$52,0)),0))</f>
        <v/>
      </c>
      <c r="E50" s="18">
        <f>IF(B50="",0,C50*D50)</f>
        <v/>
      </c>
    </row>
    <row r="51">
      <c r="A51" s="7" t="n"/>
      <c r="B51" s="7" t="n"/>
      <c r="C51" s="7" t="n"/>
      <c r="D51" s="16">
        <f>IF(B51="",0,IFERROR(INDEX(Materiais!$G$2:$G$52,MATCH(B51,Materiais!$A$2:$A$52,0)),0))</f>
        <v/>
      </c>
      <c r="E51" s="18">
        <f>IF(B51="",0,C51*D51)</f>
        <v/>
      </c>
    </row>
    <row r="52">
      <c r="A52" s="7" t="n"/>
      <c r="B52" s="7" t="n"/>
      <c r="C52" s="7" t="n"/>
      <c r="D52" s="16">
        <f>IF(B52="",0,IFERROR(INDEX(Materiais!$G$2:$G$52,MATCH(B52,Materiais!$A$2:$A$52,0)),0))</f>
        <v/>
      </c>
      <c r="E52" s="18">
        <f>IF(B52="",0,C52*D52)</f>
        <v/>
      </c>
    </row>
    <row r="53">
      <c r="A53" s="7" t="n"/>
      <c r="B53" s="7" t="n"/>
      <c r="C53" s="7" t="n"/>
      <c r="D53" s="16">
        <f>IF(B53="",0,IFERROR(INDEX(Materiais!$G$2:$G$52,MATCH(B53,Materiais!$A$2:$A$52,0)),0))</f>
        <v/>
      </c>
      <c r="E53" s="18">
        <f>IF(B53="",0,C53*D53)</f>
        <v/>
      </c>
    </row>
    <row r="54">
      <c r="A54" s="7" t="n"/>
      <c r="B54" s="7" t="n"/>
      <c r="C54" s="7" t="n"/>
      <c r="D54" s="16">
        <f>IF(B54="",0,IFERROR(INDEX(Materiais!$G$2:$G$52,MATCH(B54,Materiais!$A$2:$A$52,0)),0))</f>
        <v/>
      </c>
      <c r="E54" s="18">
        <f>IF(B54="",0,C54*D54)</f>
        <v/>
      </c>
    </row>
    <row r="55">
      <c r="A55" s="7" t="n"/>
      <c r="B55" s="7" t="n"/>
      <c r="C55" s="7" t="n"/>
      <c r="D55" s="16">
        <f>IF(B55="",0,IFERROR(INDEX(Materiais!$G$2:$G$52,MATCH(B55,Materiais!$A$2:$A$52,0)),0))</f>
        <v/>
      </c>
      <c r="E55" s="18">
        <f>IF(B55="",0,C55*D55)</f>
        <v/>
      </c>
    </row>
    <row r="56">
      <c r="A56" s="7" t="n"/>
      <c r="B56" s="7" t="n"/>
      <c r="C56" s="7" t="n"/>
      <c r="D56" s="16">
        <f>IF(B56="",0,IFERROR(INDEX(Materiais!$G$2:$G$52,MATCH(B56,Materiais!$A$2:$A$52,0)),0))</f>
        <v/>
      </c>
      <c r="E56" s="18">
        <f>IF(B56="",0,C56*D56)</f>
        <v/>
      </c>
    </row>
    <row r="57">
      <c r="A57" s="7" t="n"/>
      <c r="B57" s="7" t="n"/>
      <c r="C57" s="7" t="n"/>
      <c r="D57" s="16">
        <f>IF(B57="",0,IFERROR(INDEX(Materiais!$G$2:$G$52,MATCH(B57,Materiais!$A$2:$A$52,0)),0))</f>
        <v/>
      </c>
      <c r="E57" s="18">
        <f>IF(B57="",0,C57*D57)</f>
        <v/>
      </c>
    </row>
    <row r="58">
      <c r="A58" s="7" t="n"/>
      <c r="B58" s="7" t="n"/>
      <c r="C58" s="7" t="n"/>
      <c r="D58" s="16">
        <f>IF(B58="",0,IFERROR(INDEX(Materiais!$G$2:$G$52,MATCH(B58,Materiais!$A$2:$A$52,0)),0))</f>
        <v/>
      </c>
      <c r="E58" s="18">
        <f>IF(B58="",0,C58*D58)</f>
        <v/>
      </c>
    </row>
    <row r="59">
      <c r="A59" s="7" t="n"/>
      <c r="B59" s="7" t="n"/>
      <c r="C59" s="7" t="n"/>
      <c r="D59" s="16">
        <f>IF(B59="",0,IFERROR(INDEX(Materiais!$G$2:$G$52,MATCH(B59,Materiais!$A$2:$A$52,0)),0))</f>
        <v/>
      </c>
      <c r="E59" s="18">
        <f>IF(B59="",0,C59*D59)</f>
        <v/>
      </c>
    </row>
    <row r="60">
      <c r="A60" s="7" t="n"/>
      <c r="B60" s="7" t="n"/>
      <c r="C60" s="7" t="n"/>
      <c r="D60" s="16">
        <f>IF(B60="",0,IFERROR(INDEX(Materiais!$G$2:$G$52,MATCH(B60,Materiais!$A$2:$A$52,0)),0))</f>
        <v/>
      </c>
      <c r="E60" s="18">
        <f>IF(B60="",0,C60*D60)</f>
        <v/>
      </c>
    </row>
    <row r="61">
      <c r="A61" s="7" t="n"/>
      <c r="B61" s="7" t="n"/>
      <c r="C61" s="7" t="n"/>
      <c r="D61" s="16">
        <f>IF(B61="",0,IFERROR(INDEX(Materiais!$G$2:$G$52,MATCH(B61,Materiais!$A$2:$A$52,0)),0))</f>
        <v/>
      </c>
      <c r="E61" s="18">
        <f>IF(B61="",0,C61*D61)</f>
        <v/>
      </c>
    </row>
    <row r="62">
      <c r="A62" s="7" t="n"/>
      <c r="B62" s="7" t="n"/>
      <c r="C62" s="7" t="n"/>
      <c r="D62" s="16">
        <f>IF(B62="",0,IFERROR(INDEX(Materiais!$G$2:$G$52,MATCH(B62,Materiais!$A$2:$A$52,0)),0))</f>
        <v/>
      </c>
      <c r="E62" s="18">
        <f>IF(B62="",0,C62*D62)</f>
        <v/>
      </c>
    </row>
    <row r="63">
      <c r="A63" s="7" t="n"/>
      <c r="B63" s="7" t="n"/>
      <c r="C63" s="7" t="n"/>
      <c r="D63" s="16">
        <f>IF(B63="",0,IFERROR(INDEX(Materiais!$G$2:$G$52,MATCH(B63,Materiais!$A$2:$A$52,0)),0))</f>
        <v/>
      </c>
      <c r="E63" s="18">
        <f>IF(B63="",0,C63*D63)</f>
        <v/>
      </c>
    </row>
    <row r="64">
      <c r="A64" s="7" t="n"/>
      <c r="B64" s="7" t="n"/>
      <c r="C64" s="7" t="n"/>
      <c r="D64" s="16">
        <f>IF(B64="",0,IFERROR(INDEX(Materiais!$G$2:$G$52,MATCH(B64,Materiais!$A$2:$A$52,0)),0))</f>
        <v/>
      </c>
      <c r="E64" s="18">
        <f>IF(B64="",0,C64*D64)</f>
        <v/>
      </c>
    </row>
    <row r="65">
      <c r="A65" s="7" t="n"/>
      <c r="B65" s="7" t="n"/>
      <c r="C65" s="7" t="n"/>
      <c r="D65" s="16">
        <f>IF(B65="",0,IFERROR(INDEX(Materiais!$G$2:$G$52,MATCH(B65,Materiais!$A$2:$A$52,0)),0))</f>
        <v/>
      </c>
      <c r="E65" s="18">
        <f>IF(B65="",0,C65*D65)</f>
        <v/>
      </c>
    </row>
    <row r="66">
      <c r="A66" s="7" t="n"/>
      <c r="B66" s="7" t="n"/>
      <c r="C66" s="7" t="n"/>
      <c r="D66" s="16">
        <f>IF(B66="",0,IFERROR(INDEX(Materiais!$G$2:$G$52,MATCH(B66,Materiais!$A$2:$A$52,0)),0))</f>
        <v/>
      </c>
      <c r="E66" s="18">
        <f>IF(B66="",0,C66*D66)</f>
        <v/>
      </c>
    </row>
    <row r="67">
      <c r="A67" s="7" t="n"/>
      <c r="B67" s="7" t="n"/>
      <c r="C67" s="7" t="n"/>
      <c r="D67" s="16">
        <f>IF(B67="",0,IFERROR(INDEX(Materiais!$G$2:$G$52,MATCH(B67,Materiais!$A$2:$A$52,0)),0))</f>
        <v/>
      </c>
      <c r="E67" s="18">
        <f>IF(B67="",0,C67*D67)</f>
        <v/>
      </c>
    </row>
    <row r="68">
      <c r="A68" s="7" t="n"/>
      <c r="B68" s="7" t="n"/>
      <c r="C68" s="7" t="n"/>
      <c r="D68" s="16">
        <f>IF(B68="",0,IFERROR(INDEX(Materiais!$G$2:$G$52,MATCH(B68,Materiais!$A$2:$A$52,0)),0))</f>
        <v/>
      </c>
      <c r="E68" s="18">
        <f>IF(B68="",0,C68*D68)</f>
        <v/>
      </c>
    </row>
    <row r="69">
      <c r="A69" s="7" t="n"/>
      <c r="B69" s="7" t="n"/>
      <c r="C69" s="7" t="n"/>
      <c r="D69" s="16">
        <f>IF(B69="",0,IFERROR(INDEX(Materiais!$G$2:$G$52,MATCH(B69,Materiais!$A$2:$A$52,0)),0))</f>
        <v/>
      </c>
      <c r="E69" s="18">
        <f>IF(B69="",0,C69*D69)</f>
        <v/>
      </c>
    </row>
    <row r="70">
      <c r="A70" s="7" t="n"/>
      <c r="B70" s="7" t="n"/>
      <c r="C70" s="7" t="n"/>
      <c r="D70" s="16">
        <f>IF(B70="",0,IFERROR(INDEX(Materiais!$G$2:$G$52,MATCH(B70,Materiais!$A$2:$A$52,0)),0))</f>
        <v/>
      </c>
      <c r="E70" s="18">
        <f>IF(B70="",0,C70*D70)</f>
        <v/>
      </c>
    </row>
    <row r="71">
      <c r="A71" s="7" t="n"/>
      <c r="B71" s="7" t="n"/>
      <c r="C71" s="7" t="n"/>
      <c r="D71" s="16">
        <f>IF(B71="",0,IFERROR(INDEX(Materiais!$G$2:$G$52,MATCH(B71,Materiais!$A$2:$A$52,0)),0))</f>
        <v/>
      </c>
      <c r="E71" s="18">
        <f>IF(B71="",0,C71*D71)</f>
        <v/>
      </c>
    </row>
    <row r="72">
      <c r="A72" s="7" t="n"/>
      <c r="B72" s="7" t="n"/>
      <c r="C72" s="7" t="n"/>
      <c r="D72" s="16">
        <f>IF(B72="",0,IFERROR(INDEX(Materiais!$G$2:$G$52,MATCH(B72,Materiais!$A$2:$A$52,0)),0))</f>
        <v/>
      </c>
      <c r="E72" s="18">
        <f>IF(B72="",0,C72*D72)</f>
        <v/>
      </c>
    </row>
    <row r="73">
      <c r="A73" s="7" t="n"/>
      <c r="B73" s="7" t="n"/>
      <c r="C73" s="7" t="n"/>
      <c r="D73" s="16">
        <f>IF(B73="",0,IFERROR(INDEX(Materiais!$G$2:$G$52,MATCH(B73,Materiais!$A$2:$A$52,0)),0))</f>
        <v/>
      </c>
      <c r="E73" s="18">
        <f>IF(B73="",0,C73*D73)</f>
        <v/>
      </c>
    </row>
    <row r="74">
      <c r="A74" s="7" t="n"/>
      <c r="B74" s="7" t="n"/>
      <c r="C74" s="7" t="n"/>
      <c r="D74" s="16">
        <f>IF(B74="",0,IFERROR(INDEX(Materiais!$G$2:$G$52,MATCH(B74,Materiais!$A$2:$A$52,0)),0))</f>
        <v/>
      </c>
      <c r="E74" s="18">
        <f>IF(B74="",0,C74*D74)</f>
        <v/>
      </c>
    </row>
    <row r="75">
      <c r="A75" s="7" t="n"/>
      <c r="B75" s="7" t="n"/>
      <c r="C75" s="7" t="n"/>
      <c r="D75" s="16">
        <f>IF(B75="",0,IFERROR(INDEX(Materiais!$G$2:$G$52,MATCH(B75,Materiais!$A$2:$A$52,0)),0))</f>
        <v/>
      </c>
      <c r="E75" s="18">
        <f>IF(B75="",0,C75*D75)</f>
        <v/>
      </c>
    </row>
    <row r="76">
      <c r="A76" s="7" t="n"/>
      <c r="B76" s="7" t="n"/>
      <c r="C76" s="7" t="n"/>
      <c r="D76" s="16">
        <f>IF(B76="",0,IFERROR(INDEX(Materiais!$G$2:$G$52,MATCH(B76,Materiais!$A$2:$A$52,0)),0))</f>
        <v/>
      </c>
      <c r="E76" s="18">
        <f>IF(B76="",0,C76*D76)</f>
        <v/>
      </c>
    </row>
    <row r="77">
      <c r="A77" s="7" t="n"/>
      <c r="B77" s="7" t="n"/>
      <c r="C77" s="7" t="n"/>
      <c r="D77" s="16">
        <f>IF(B77="",0,IFERROR(INDEX(Materiais!$G$2:$G$52,MATCH(B77,Materiais!$A$2:$A$52,0)),0))</f>
        <v/>
      </c>
      <c r="E77" s="18">
        <f>IF(B77="",0,C77*D77)</f>
        <v/>
      </c>
    </row>
    <row r="78">
      <c r="A78" s="7" t="n"/>
      <c r="B78" s="7" t="n"/>
      <c r="C78" s="7" t="n"/>
      <c r="D78" s="16">
        <f>IF(B78="",0,IFERROR(INDEX(Materiais!$G$2:$G$52,MATCH(B78,Materiais!$A$2:$A$52,0)),0))</f>
        <v/>
      </c>
      <c r="E78" s="18">
        <f>IF(B78="",0,C78*D78)</f>
        <v/>
      </c>
    </row>
    <row r="79">
      <c r="A79" s="7" t="n"/>
      <c r="B79" s="7" t="n"/>
      <c r="C79" s="7" t="n"/>
      <c r="D79" s="16">
        <f>IF(B79="",0,IFERROR(INDEX(Materiais!$G$2:$G$52,MATCH(B79,Materiais!$A$2:$A$52,0)),0))</f>
        <v/>
      </c>
      <c r="E79" s="18">
        <f>IF(B79="",0,C79*D79)</f>
        <v/>
      </c>
    </row>
    <row r="80">
      <c r="A80" s="7" t="n"/>
      <c r="B80" s="7" t="n"/>
      <c r="C80" s="7" t="n"/>
      <c r="D80" s="16">
        <f>IF(B80="",0,IFERROR(INDEX(Materiais!$G$2:$G$52,MATCH(B80,Materiais!$A$2:$A$52,0)),0))</f>
        <v/>
      </c>
      <c r="E80" s="18">
        <f>IF(B80="",0,C80*D80)</f>
        <v/>
      </c>
    </row>
    <row r="81">
      <c r="A81" s="7" t="n"/>
      <c r="B81" s="7" t="n"/>
      <c r="C81" s="7" t="n"/>
      <c r="D81" s="16">
        <f>IF(B81="",0,IFERROR(INDEX(Materiais!$G$2:$G$52,MATCH(B81,Materiais!$A$2:$A$52,0)),0))</f>
        <v/>
      </c>
      <c r="E81" s="18">
        <f>IF(B81="",0,C81*D81)</f>
        <v/>
      </c>
    </row>
    <row r="82">
      <c r="A82" s="7" t="n"/>
      <c r="B82" s="7" t="n"/>
      <c r="C82" s="7" t="n"/>
      <c r="D82" s="16">
        <f>IF(B82="",0,IFERROR(INDEX(Materiais!$G$2:$G$52,MATCH(B82,Materiais!$A$2:$A$52,0)),0))</f>
        <v/>
      </c>
      <c r="E82" s="18">
        <f>IF(B82="",0,C82*D82)</f>
        <v/>
      </c>
    </row>
    <row r="83">
      <c r="A83" s="7" t="n"/>
      <c r="B83" s="7" t="n"/>
      <c r="C83" s="7" t="n"/>
      <c r="D83" s="16">
        <f>IF(B83="",0,IFERROR(INDEX(Materiais!$G$2:$G$52,MATCH(B83,Materiais!$A$2:$A$52,0)),0))</f>
        <v/>
      </c>
      <c r="E83" s="18">
        <f>IF(B83="",0,C83*D83)</f>
        <v/>
      </c>
    </row>
    <row r="84">
      <c r="A84" s="7" t="n"/>
      <c r="B84" s="7" t="n"/>
      <c r="C84" s="7" t="n"/>
      <c r="D84" s="16">
        <f>IF(B84="",0,IFERROR(INDEX(Materiais!$G$2:$G$52,MATCH(B84,Materiais!$A$2:$A$52,0)),0))</f>
        <v/>
      </c>
      <c r="E84" s="18">
        <f>IF(B84="",0,C84*D84)</f>
        <v/>
      </c>
    </row>
    <row r="85">
      <c r="A85" s="7" t="n"/>
      <c r="B85" s="7" t="n"/>
      <c r="C85" s="7" t="n"/>
      <c r="D85" s="16">
        <f>IF(B85="",0,IFERROR(INDEX(Materiais!$G$2:$G$52,MATCH(B85,Materiais!$A$2:$A$52,0)),0))</f>
        <v/>
      </c>
      <c r="E85" s="18">
        <f>IF(B85="",0,C85*D85)</f>
        <v/>
      </c>
    </row>
    <row r="86">
      <c r="A86" s="7" t="n"/>
      <c r="B86" s="7" t="n"/>
      <c r="C86" s="7" t="n"/>
      <c r="D86" s="16">
        <f>IF(B86="",0,IFERROR(INDEX(Materiais!$G$2:$G$52,MATCH(B86,Materiais!$A$2:$A$52,0)),0))</f>
        <v/>
      </c>
      <c r="E86" s="18">
        <f>IF(B86="",0,C86*D86)</f>
        <v/>
      </c>
    </row>
    <row r="87">
      <c r="A87" s="7" t="n"/>
      <c r="B87" s="7" t="n"/>
      <c r="C87" s="7" t="n"/>
      <c r="D87" s="16">
        <f>IF(B87="",0,IFERROR(INDEX(Materiais!$G$2:$G$52,MATCH(B87,Materiais!$A$2:$A$52,0)),0))</f>
        <v/>
      </c>
      <c r="E87" s="18">
        <f>IF(B87="",0,C87*D87)</f>
        <v/>
      </c>
    </row>
    <row r="88">
      <c r="A88" s="7" t="n"/>
      <c r="B88" s="7" t="n"/>
      <c r="C88" s="7" t="n"/>
      <c r="D88" s="16">
        <f>IF(B88="",0,IFERROR(INDEX(Materiais!$G$2:$G$52,MATCH(B88,Materiais!$A$2:$A$52,0)),0))</f>
        <v/>
      </c>
      <c r="E88" s="18">
        <f>IF(B88="",0,C88*D88)</f>
        <v/>
      </c>
    </row>
    <row r="89">
      <c r="A89" s="7" t="n"/>
      <c r="B89" s="7" t="n"/>
      <c r="C89" s="7" t="n"/>
      <c r="D89" s="16">
        <f>IF(B89="",0,IFERROR(INDEX(Materiais!$G$2:$G$52,MATCH(B89,Materiais!$A$2:$A$52,0)),0))</f>
        <v/>
      </c>
      <c r="E89" s="18">
        <f>IF(B89="",0,C89*D89)</f>
        <v/>
      </c>
    </row>
    <row r="90">
      <c r="A90" s="7" t="n"/>
      <c r="B90" s="7" t="n"/>
      <c r="C90" s="7" t="n"/>
      <c r="D90" s="16">
        <f>IF(B90="",0,IFERROR(INDEX(Materiais!$G$2:$G$52,MATCH(B90,Materiais!$A$2:$A$52,0)),0))</f>
        <v/>
      </c>
      <c r="E90" s="18">
        <f>IF(B90="",0,C90*D90)</f>
        <v/>
      </c>
    </row>
    <row r="91">
      <c r="A91" s="7" t="n"/>
      <c r="B91" s="7" t="n"/>
      <c r="C91" s="7" t="n"/>
      <c r="D91" s="16">
        <f>IF(B91="",0,IFERROR(INDEX(Materiais!$G$2:$G$52,MATCH(B91,Materiais!$A$2:$A$52,0)),0))</f>
        <v/>
      </c>
      <c r="E91" s="18">
        <f>IF(B91="",0,C91*D91)</f>
        <v/>
      </c>
    </row>
    <row r="92">
      <c r="A92" s="7" t="n"/>
      <c r="B92" s="7" t="n"/>
      <c r="C92" s="7" t="n"/>
      <c r="D92" s="16">
        <f>IF(B92="",0,IFERROR(INDEX(Materiais!$G$2:$G$52,MATCH(B92,Materiais!$A$2:$A$52,0)),0))</f>
        <v/>
      </c>
      <c r="E92" s="18">
        <f>IF(B92="",0,C92*D92)</f>
        <v/>
      </c>
    </row>
    <row r="93">
      <c r="A93" s="7" t="n"/>
      <c r="B93" s="7" t="n"/>
      <c r="C93" s="7" t="n"/>
      <c r="D93" s="16">
        <f>IF(B93="",0,IFERROR(INDEX(Materiais!$G$2:$G$52,MATCH(B93,Materiais!$A$2:$A$52,0)),0))</f>
        <v/>
      </c>
      <c r="E93" s="18">
        <f>IF(B93="",0,C93*D93)</f>
        <v/>
      </c>
    </row>
    <row r="94">
      <c r="A94" s="7" t="n"/>
      <c r="B94" s="7" t="n"/>
      <c r="C94" s="7" t="n"/>
      <c r="D94" s="16">
        <f>IF(B94="",0,IFERROR(INDEX(Materiais!$G$2:$G$52,MATCH(B94,Materiais!$A$2:$A$52,0)),0))</f>
        <v/>
      </c>
      <c r="E94" s="18">
        <f>IF(B94="",0,C94*D94)</f>
        <v/>
      </c>
    </row>
    <row r="95">
      <c r="A95" s="7" t="n"/>
      <c r="B95" s="7" t="n"/>
      <c r="C95" s="7" t="n"/>
      <c r="D95" s="16">
        <f>IF(B95="",0,IFERROR(INDEX(Materiais!$G$2:$G$52,MATCH(B95,Materiais!$A$2:$A$52,0)),0))</f>
        <v/>
      </c>
      <c r="E95" s="18">
        <f>IF(B95="",0,C95*D95)</f>
        <v/>
      </c>
    </row>
    <row r="96">
      <c r="A96" s="7" t="n"/>
      <c r="B96" s="7" t="n"/>
      <c r="C96" s="7" t="n"/>
      <c r="D96" s="16">
        <f>IF(B96="",0,IFERROR(INDEX(Materiais!$G$2:$G$52,MATCH(B96,Materiais!$A$2:$A$52,0)),0))</f>
        <v/>
      </c>
      <c r="E96" s="18">
        <f>IF(B96="",0,C96*D96)</f>
        <v/>
      </c>
    </row>
    <row r="97">
      <c r="A97" s="7" t="n"/>
      <c r="B97" s="7" t="n"/>
      <c r="C97" s="7" t="n"/>
      <c r="D97" s="16">
        <f>IF(B97="",0,IFERROR(INDEX(Materiais!$G$2:$G$52,MATCH(B97,Materiais!$A$2:$A$52,0)),0))</f>
        <v/>
      </c>
      <c r="E97" s="18">
        <f>IF(B97="",0,C97*D97)</f>
        <v/>
      </c>
    </row>
    <row r="98">
      <c r="A98" s="7" t="n"/>
      <c r="B98" s="7" t="n"/>
      <c r="C98" s="7" t="n"/>
      <c r="D98" s="16">
        <f>IF(B98="",0,IFERROR(INDEX(Materiais!$G$2:$G$52,MATCH(B98,Materiais!$A$2:$A$52,0)),0))</f>
        <v/>
      </c>
      <c r="E98" s="18">
        <f>IF(B98="",0,C98*D98)</f>
        <v/>
      </c>
    </row>
    <row r="99">
      <c r="A99" s="7" t="n"/>
      <c r="B99" s="7" t="n"/>
      <c r="C99" s="7" t="n"/>
      <c r="D99" s="16">
        <f>IF(B99="",0,IFERROR(INDEX(Materiais!$G$2:$G$52,MATCH(B99,Materiais!$A$2:$A$52,0)),0))</f>
        <v/>
      </c>
      <c r="E99" s="18">
        <f>IF(B99="",0,C99*D99)</f>
        <v/>
      </c>
    </row>
    <row r="100">
      <c r="A100" s="7" t="n"/>
      <c r="B100" s="7" t="n"/>
      <c r="C100" s="7" t="n"/>
      <c r="D100" s="16">
        <f>IF(B100="",0,IFERROR(INDEX(Materiais!$G$2:$G$52,MATCH(B100,Materiais!$A$2:$A$52,0)),0))</f>
        <v/>
      </c>
      <c r="E100" s="18">
        <f>IF(B100="",0,C100*D100)</f>
        <v/>
      </c>
    </row>
    <row r="101">
      <c r="A101" s="7" t="n"/>
      <c r="B101" s="7" t="n"/>
      <c r="C101" s="7" t="n"/>
      <c r="D101" s="16">
        <f>IF(B101="",0,IFERROR(INDEX(Materiais!$G$2:$G$52,MATCH(B101,Materiais!$A$2:$A$52,0)),0))</f>
        <v/>
      </c>
      <c r="E101" s="18">
        <f>IF(B101="",0,C101*D101)</f>
        <v/>
      </c>
    </row>
    <row r="102">
      <c r="A102" s="7" t="n"/>
      <c r="B102" s="7" t="n"/>
      <c r="C102" s="7" t="n"/>
      <c r="D102" s="16">
        <f>IF(B102="",0,IFERROR(INDEX(Materiais!$G$2:$G$52,MATCH(B102,Materiais!$A$2:$A$52,0)),0))</f>
        <v/>
      </c>
      <c r="E102" s="18">
        <f>IF(B102="",0,C102*D102)</f>
        <v/>
      </c>
    </row>
    <row r="103">
      <c r="A103" s="7" t="n"/>
      <c r="B103" s="7" t="n"/>
      <c r="C103" s="7" t="n"/>
      <c r="D103" s="16">
        <f>IF(B103="",0,IFERROR(INDEX(Materiais!$G$2:$G$52,MATCH(B103,Materiais!$A$2:$A$52,0)),0))</f>
        <v/>
      </c>
      <c r="E103" s="18">
        <f>IF(B103="",0,C103*D103)</f>
        <v/>
      </c>
    </row>
    <row r="104">
      <c r="A104" s="7" t="n"/>
      <c r="B104" s="7" t="n"/>
      <c r="C104" s="7" t="n"/>
      <c r="D104" s="16">
        <f>IF(B104="",0,IFERROR(INDEX(Materiais!$G$2:$G$52,MATCH(B104,Materiais!$A$2:$A$52,0)),0))</f>
        <v/>
      </c>
      <c r="E104" s="18">
        <f>IF(B104="",0,C104*D104)</f>
        <v/>
      </c>
    </row>
    <row r="105">
      <c r="A105" s="7" t="n"/>
      <c r="B105" s="7" t="n"/>
      <c r="C105" s="7" t="n"/>
      <c r="D105" s="16">
        <f>IF(B105="",0,IFERROR(INDEX(Materiais!$G$2:$G$52,MATCH(B105,Materiais!$A$2:$A$52,0)),0))</f>
        <v/>
      </c>
      <c r="E105" s="18">
        <f>IF(B105="",0,C105*D105)</f>
        <v/>
      </c>
    </row>
    <row r="106">
      <c r="A106" s="7" t="n"/>
      <c r="B106" s="7" t="n"/>
      <c r="C106" s="7" t="n"/>
      <c r="D106" s="16">
        <f>IF(B106="",0,IFERROR(INDEX(Materiais!$G$2:$G$52,MATCH(B106,Materiais!$A$2:$A$52,0)),0))</f>
        <v/>
      </c>
      <c r="E106" s="18">
        <f>IF(B106="",0,C106*D106)</f>
        <v/>
      </c>
    </row>
    <row r="107">
      <c r="A107" s="7" t="n"/>
      <c r="B107" s="7" t="n"/>
      <c r="C107" s="7" t="n"/>
      <c r="D107" s="16">
        <f>IF(B107="",0,IFERROR(INDEX(Materiais!$G$2:$G$52,MATCH(B107,Materiais!$A$2:$A$52,0)),0))</f>
        <v/>
      </c>
      <c r="E107" s="18">
        <f>IF(B107="",0,C107*D107)</f>
        <v/>
      </c>
    </row>
    <row r="108">
      <c r="A108" s="7" t="n"/>
      <c r="B108" s="7" t="n"/>
      <c r="C108" s="7" t="n"/>
      <c r="D108" s="16">
        <f>IF(B108="",0,IFERROR(INDEX(Materiais!$G$2:$G$52,MATCH(B108,Materiais!$A$2:$A$52,0)),0))</f>
        <v/>
      </c>
      <c r="E108" s="18">
        <f>IF(B108="",0,C108*D108)</f>
        <v/>
      </c>
    </row>
    <row r="109">
      <c r="A109" s="7" t="n"/>
      <c r="B109" s="7" t="n"/>
      <c r="C109" s="7" t="n"/>
      <c r="D109" s="16">
        <f>IF(B109="",0,IFERROR(INDEX(Materiais!$G$2:$G$52,MATCH(B109,Materiais!$A$2:$A$52,0)),0))</f>
        <v/>
      </c>
      <c r="E109" s="18">
        <f>IF(B109="",0,C109*D109)</f>
        <v/>
      </c>
    </row>
    <row r="110">
      <c r="A110" s="7" t="n"/>
      <c r="B110" s="7" t="n"/>
      <c r="C110" s="7" t="n"/>
      <c r="D110" s="16">
        <f>IF(B110="",0,IFERROR(INDEX(Materiais!$G$2:$G$52,MATCH(B110,Materiais!$A$2:$A$52,0)),0))</f>
        <v/>
      </c>
      <c r="E110" s="18">
        <f>IF(B110="",0,C110*D110)</f>
        <v/>
      </c>
    </row>
    <row r="111">
      <c r="A111" s="7" t="n"/>
      <c r="B111" s="7" t="n"/>
      <c r="C111" s="7" t="n"/>
      <c r="D111" s="16">
        <f>IF(B111="",0,IFERROR(INDEX(Materiais!$G$2:$G$52,MATCH(B111,Materiais!$A$2:$A$52,0)),0))</f>
        <v/>
      </c>
      <c r="E111" s="18">
        <f>IF(B111="",0,C111*D111)</f>
        <v/>
      </c>
    </row>
    <row r="112">
      <c r="A112" s="7" t="n"/>
      <c r="B112" s="7" t="n"/>
      <c r="C112" s="7" t="n"/>
      <c r="D112" s="16">
        <f>IF(B112="",0,IFERROR(INDEX(Materiais!$G$2:$G$52,MATCH(B112,Materiais!$A$2:$A$52,0)),0))</f>
        <v/>
      </c>
      <c r="E112" s="18">
        <f>IF(B112="",0,C112*D112)</f>
        <v/>
      </c>
    </row>
    <row r="113">
      <c r="A113" s="7" t="n"/>
      <c r="B113" s="7" t="n"/>
      <c r="C113" s="7" t="n"/>
      <c r="D113" s="16">
        <f>IF(B113="",0,IFERROR(INDEX(Materiais!$G$2:$G$52,MATCH(B113,Materiais!$A$2:$A$52,0)),0))</f>
        <v/>
      </c>
      <c r="E113" s="18">
        <f>IF(B113="",0,C113*D113)</f>
        <v/>
      </c>
    </row>
    <row r="114">
      <c r="A114" s="7" t="n"/>
      <c r="B114" s="7" t="n"/>
      <c r="C114" s="7" t="n"/>
      <c r="D114" s="16">
        <f>IF(B114="",0,IFERROR(INDEX(Materiais!$G$2:$G$52,MATCH(B114,Materiais!$A$2:$A$52,0)),0))</f>
        <v/>
      </c>
      <c r="E114" s="18">
        <f>IF(B114="",0,C114*D114)</f>
        <v/>
      </c>
    </row>
    <row r="115">
      <c r="A115" s="7" t="n"/>
      <c r="B115" s="7" t="n"/>
      <c r="C115" s="7" t="n"/>
      <c r="D115" s="16">
        <f>IF(B115="",0,IFERROR(INDEX(Materiais!$G$2:$G$52,MATCH(B115,Materiais!$A$2:$A$52,0)),0))</f>
        <v/>
      </c>
      <c r="E115" s="18">
        <f>IF(B115="",0,C115*D115)</f>
        <v/>
      </c>
    </row>
    <row r="116">
      <c r="A116" s="7" t="n"/>
      <c r="B116" s="7" t="n"/>
      <c r="C116" s="7" t="n"/>
      <c r="D116" s="16">
        <f>IF(B116="",0,IFERROR(INDEX(Materiais!$G$2:$G$52,MATCH(B116,Materiais!$A$2:$A$52,0)),0))</f>
        <v/>
      </c>
      <c r="E116" s="18">
        <f>IF(B116="",0,C116*D116)</f>
        <v/>
      </c>
    </row>
    <row r="117">
      <c r="A117" s="7" t="n"/>
      <c r="B117" s="7" t="n"/>
      <c r="C117" s="7" t="n"/>
      <c r="D117" s="16">
        <f>IF(B117="",0,IFERROR(INDEX(Materiais!$G$2:$G$52,MATCH(B117,Materiais!$A$2:$A$52,0)),0))</f>
        <v/>
      </c>
      <c r="E117" s="18">
        <f>IF(B117="",0,C117*D117)</f>
        <v/>
      </c>
    </row>
    <row r="118">
      <c r="A118" s="7" t="n"/>
      <c r="B118" s="7" t="n"/>
      <c r="C118" s="7" t="n"/>
      <c r="D118" s="16">
        <f>IF(B118="",0,IFERROR(INDEX(Materiais!$G$2:$G$52,MATCH(B118,Materiais!$A$2:$A$52,0)),0))</f>
        <v/>
      </c>
      <c r="E118" s="18">
        <f>IF(B118="",0,C118*D118)</f>
        <v/>
      </c>
    </row>
    <row r="119">
      <c r="A119" s="7" t="n"/>
      <c r="B119" s="7" t="n"/>
      <c r="C119" s="7" t="n"/>
      <c r="D119" s="16">
        <f>IF(B119="",0,IFERROR(INDEX(Materiais!$G$2:$G$52,MATCH(B119,Materiais!$A$2:$A$52,0)),0))</f>
        <v/>
      </c>
      <c r="E119" s="18">
        <f>IF(B119="",0,C119*D119)</f>
        <v/>
      </c>
    </row>
    <row r="120">
      <c r="A120" s="7" t="n"/>
      <c r="B120" s="7" t="n"/>
      <c r="C120" s="7" t="n"/>
      <c r="D120" s="16">
        <f>IF(B120="",0,IFERROR(INDEX(Materiais!$G$2:$G$52,MATCH(B120,Materiais!$A$2:$A$52,0)),0))</f>
        <v/>
      </c>
      <c r="E120" s="18">
        <f>IF(B120="",0,C120*D120)</f>
        <v/>
      </c>
    </row>
    <row r="121">
      <c r="A121" s="7" t="n"/>
      <c r="B121" s="7" t="n"/>
      <c r="C121" s="7" t="n"/>
      <c r="D121" s="16">
        <f>IF(B121="",0,IFERROR(INDEX(Materiais!$G$2:$G$52,MATCH(B121,Materiais!$A$2:$A$52,0)),0))</f>
        <v/>
      </c>
      <c r="E121" s="18">
        <f>IF(B121="",0,C121*D121)</f>
        <v/>
      </c>
    </row>
    <row r="122">
      <c r="A122" s="7" t="n"/>
      <c r="B122" s="7" t="n"/>
      <c r="C122" s="7" t="n"/>
      <c r="D122" s="16">
        <f>IF(B122="",0,IFERROR(INDEX(Materiais!$G$2:$G$52,MATCH(B122,Materiais!$A$2:$A$52,0)),0))</f>
        <v/>
      </c>
      <c r="E122" s="18">
        <f>IF(B122="",0,C122*D122)</f>
        <v/>
      </c>
    </row>
    <row r="123">
      <c r="A123" s="7" t="n"/>
      <c r="B123" s="7" t="n"/>
      <c r="C123" s="7" t="n"/>
      <c r="D123" s="16">
        <f>IF(B123="",0,IFERROR(INDEX(Materiais!$G$2:$G$52,MATCH(B123,Materiais!$A$2:$A$52,0)),0))</f>
        <v/>
      </c>
      <c r="E123" s="18">
        <f>IF(B123="",0,C123*D123)</f>
        <v/>
      </c>
    </row>
    <row r="124">
      <c r="A124" s="7" t="n"/>
      <c r="B124" s="7" t="n"/>
      <c r="C124" s="7" t="n"/>
      <c r="D124" s="16">
        <f>IF(B124="",0,IFERROR(INDEX(Materiais!$G$2:$G$52,MATCH(B124,Materiais!$A$2:$A$52,0)),0))</f>
        <v/>
      </c>
      <c r="E124" s="18">
        <f>IF(B124="",0,C124*D124)</f>
        <v/>
      </c>
    </row>
    <row r="125">
      <c r="A125" s="7" t="n"/>
      <c r="B125" s="7" t="n"/>
      <c r="C125" s="7" t="n"/>
      <c r="D125" s="16">
        <f>IF(B125="",0,IFERROR(INDEX(Materiais!$G$2:$G$52,MATCH(B125,Materiais!$A$2:$A$52,0)),0))</f>
        <v/>
      </c>
      <c r="E125" s="18">
        <f>IF(B125="",0,C125*D125)</f>
        <v/>
      </c>
    </row>
    <row r="126">
      <c r="A126" s="7" t="n"/>
      <c r="B126" s="7" t="n"/>
      <c r="C126" s="7" t="n"/>
      <c r="D126" s="16">
        <f>IF(B126="",0,IFERROR(INDEX(Materiais!$G$2:$G$52,MATCH(B126,Materiais!$A$2:$A$52,0)),0))</f>
        <v/>
      </c>
      <c r="E126" s="18">
        <f>IF(B126="",0,C126*D126)</f>
        <v/>
      </c>
    </row>
    <row r="127">
      <c r="A127" s="7" t="n"/>
      <c r="B127" s="7" t="n"/>
      <c r="C127" s="7" t="n"/>
      <c r="D127" s="16">
        <f>IF(B127="",0,IFERROR(INDEX(Materiais!$G$2:$G$52,MATCH(B127,Materiais!$A$2:$A$52,0)),0))</f>
        <v/>
      </c>
      <c r="E127" s="18">
        <f>IF(B127="",0,C127*D127)</f>
        <v/>
      </c>
    </row>
    <row r="128">
      <c r="A128" s="7" t="n"/>
      <c r="B128" s="7" t="n"/>
      <c r="C128" s="7" t="n"/>
      <c r="D128" s="16">
        <f>IF(B128="",0,IFERROR(INDEX(Materiais!$G$2:$G$52,MATCH(B128,Materiais!$A$2:$A$52,0)),0))</f>
        <v/>
      </c>
      <c r="E128" s="18">
        <f>IF(B128="",0,C128*D128)</f>
        <v/>
      </c>
    </row>
    <row r="129">
      <c r="A129" s="7" t="n"/>
      <c r="B129" s="7" t="n"/>
      <c r="C129" s="7" t="n"/>
      <c r="D129" s="16">
        <f>IF(B129="",0,IFERROR(INDEX(Materiais!$G$2:$G$52,MATCH(B129,Materiais!$A$2:$A$52,0)),0))</f>
        <v/>
      </c>
      <c r="E129" s="18">
        <f>IF(B129="",0,C129*D129)</f>
        <v/>
      </c>
    </row>
    <row r="130">
      <c r="A130" s="7" t="n"/>
      <c r="B130" s="7" t="n"/>
      <c r="C130" s="7" t="n"/>
      <c r="D130" s="16">
        <f>IF(B130="",0,IFERROR(INDEX(Materiais!$G$2:$G$52,MATCH(B130,Materiais!$A$2:$A$52,0)),0))</f>
        <v/>
      </c>
      <c r="E130" s="18">
        <f>IF(B130="",0,C130*D130)</f>
        <v/>
      </c>
    </row>
    <row r="131">
      <c r="A131" s="7" t="n"/>
      <c r="B131" s="7" t="n"/>
      <c r="C131" s="7" t="n"/>
      <c r="D131" s="16">
        <f>IF(B131="",0,IFERROR(INDEX(Materiais!$G$2:$G$52,MATCH(B131,Materiais!$A$2:$A$52,0)),0))</f>
        <v/>
      </c>
      <c r="E131" s="18">
        <f>IF(B131="",0,C131*D131)</f>
        <v/>
      </c>
    </row>
    <row r="132">
      <c r="A132" s="7" t="n"/>
      <c r="B132" s="7" t="n"/>
      <c r="C132" s="7" t="n"/>
      <c r="D132" s="16">
        <f>IF(B132="",0,IFERROR(INDEX(Materiais!$G$2:$G$52,MATCH(B132,Materiais!$A$2:$A$52,0)),0))</f>
        <v/>
      </c>
      <c r="E132" s="18">
        <f>IF(B132="",0,C132*D132)</f>
        <v/>
      </c>
    </row>
    <row r="133">
      <c r="A133" s="7" t="n"/>
      <c r="B133" s="7" t="n"/>
      <c r="C133" s="7" t="n"/>
      <c r="D133" s="16">
        <f>IF(B133="",0,IFERROR(INDEX(Materiais!$G$2:$G$52,MATCH(B133,Materiais!$A$2:$A$52,0)),0))</f>
        <v/>
      </c>
      <c r="E133" s="18">
        <f>IF(B133="",0,C133*D133)</f>
        <v/>
      </c>
    </row>
    <row r="134">
      <c r="A134" s="7" t="n"/>
      <c r="B134" s="7" t="n"/>
      <c r="C134" s="7" t="n"/>
      <c r="D134" s="16">
        <f>IF(B134="",0,IFERROR(INDEX(Materiais!$G$2:$G$52,MATCH(B134,Materiais!$A$2:$A$52,0)),0))</f>
        <v/>
      </c>
      <c r="E134" s="18">
        <f>IF(B134="",0,C134*D134)</f>
        <v/>
      </c>
    </row>
    <row r="135">
      <c r="A135" s="7" t="n"/>
      <c r="B135" s="7" t="n"/>
      <c r="C135" s="7" t="n"/>
      <c r="D135" s="16">
        <f>IF(B135="",0,IFERROR(INDEX(Materiais!$G$2:$G$52,MATCH(B135,Materiais!$A$2:$A$52,0)),0))</f>
        <v/>
      </c>
      <c r="E135" s="18">
        <f>IF(B135="",0,C135*D135)</f>
        <v/>
      </c>
    </row>
    <row r="136">
      <c r="A136" s="7" t="n"/>
      <c r="B136" s="7" t="n"/>
      <c r="C136" s="7" t="n"/>
      <c r="D136" s="16">
        <f>IF(B136="",0,IFERROR(INDEX(Materiais!$G$2:$G$52,MATCH(B136,Materiais!$A$2:$A$52,0)),0))</f>
        <v/>
      </c>
      <c r="E136" s="18">
        <f>IF(B136="",0,C136*D136)</f>
        <v/>
      </c>
    </row>
    <row r="137">
      <c r="A137" s="7" t="n"/>
      <c r="B137" s="7" t="n"/>
      <c r="C137" s="7" t="n"/>
      <c r="D137" s="16">
        <f>IF(B137="",0,IFERROR(INDEX(Materiais!$G$2:$G$52,MATCH(B137,Materiais!$A$2:$A$52,0)),0))</f>
        <v/>
      </c>
      <c r="E137" s="18">
        <f>IF(B137="",0,C137*D137)</f>
        <v/>
      </c>
    </row>
    <row r="138">
      <c r="A138" s="7" t="n"/>
      <c r="B138" s="7" t="n"/>
      <c r="C138" s="7" t="n"/>
      <c r="D138" s="16">
        <f>IF(B138="",0,IFERROR(INDEX(Materiais!$G$2:$G$52,MATCH(B138,Materiais!$A$2:$A$52,0)),0))</f>
        <v/>
      </c>
      <c r="E138" s="18">
        <f>IF(B138="",0,C138*D138)</f>
        <v/>
      </c>
    </row>
    <row r="139">
      <c r="A139" s="7" t="n"/>
      <c r="B139" s="7" t="n"/>
      <c r="C139" s="7" t="n"/>
      <c r="D139" s="16">
        <f>IF(B139="",0,IFERROR(INDEX(Materiais!$G$2:$G$52,MATCH(B139,Materiais!$A$2:$A$52,0)),0))</f>
        <v/>
      </c>
      <c r="E139" s="18">
        <f>IF(B139="",0,C139*D139)</f>
        <v/>
      </c>
    </row>
    <row r="140">
      <c r="A140" s="7" t="n"/>
      <c r="B140" s="7" t="n"/>
      <c r="C140" s="7" t="n"/>
      <c r="D140" s="16">
        <f>IF(B140="",0,IFERROR(INDEX(Materiais!$G$2:$G$52,MATCH(B140,Materiais!$A$2:$A$52,0)),0))</f>
        <v/>
      </c>
      <c r="E140" s="18">
        <f>IF(B140="",0,C140*D140)</f>
        <v/>
      </c>
    </row>
    <row r="141">
      <c r="A141" s="7" t="n"/>
      <c r="B141" s="7" t="n"/>
      <c r="C141" s="7" t="n"/>
      <c r="D141" s="16">
        <f>IF(B141="",0,IFERROR(INDEX(Materiais!$G$2:$G$52,MATCH(B141,Materiais!$A$2:$A$52,0)),0))</f>
        <v/>
      </c>
      <c r="E141" s="18">
        <f>IF(B141="",0,C141*D141)</f>
        <v/>
      </c>
    </row>
    <row r="142">
      <c r="A142" s="7" t="n"/>
      <c r="B142" s="7" t="n"/>
      <c r="C142" s="7" t="n"/>
      <c r="D142" s="16">
        <f>IF(B142="",0,IFERROR(INDEX(Materiais!$G$2:$G$52,MATCH(B142,Materiais!$A$2:$A$52,0)),0))</f>
        <v/>
      </c>
      <c r="E142" s="18">
        <f>IF(B142="",0,C142*D142)</f>
        <v/>
      </c>
    </row>
    <row r="143">
      <c r="A143" s="7" t="n"/>
      <c r="B143" s="7" t="n"/>
      <c r="C143" s="7" t="n"/>
      <c r="D143" s="16">
        <f>IF(B143="",0,IFERROR(INDEX(Materiais!$G$2:$G$52,MATCH(B143,Materiais!$A$2:$A$52,0)),0))</f>
        <v/>
      </c>
      <c r="E143" s="18">
        <f>IF(B143="",0,C143*D143)</f>
        <v/>
      </c>
    </row>
    <row r="144">
      <c r="A144" s="7" t="n"/>
      <c r="B144" s="7" t="n"/>
      <c r="C144" s="7" t="n"/>
      <c r="D144" s="16">
        <f>IF(B144="",0,IFERROR(INDEX(Materiais!$G$2:$G$52,MATCH(B144,Materiais!$A$2:$A$52,0)),0))</f>
        <v/>
      </c>
      <c r="E144" s="18">
        <f>IF(B144="",0,C144*D144)</f>
        <v/>
      </c>
    </row>
    <row r="145">
      <c r="A145" s="7" t="n"/>
      <c r="B145" s="7" t="n"/>
      <c r="C145" s="7" t="n"/>
      <c r="D145" s="16">
        <f>IF(B145="",0,IFERROR(INDEX(Materiais!$G$2:$G$52,MATCH(B145,Materiais!$A$2:$A$52,0)),0))</f>
        <v/>
      </c>
      <c r="E145" s="18">
        <f>IF(B145="",0,C145*D145)</f>
        <v/>
      </c>
    </row>
    <row r="146">
      <c r="A146" s="7" t="n"/>
      <c r="B146" s="7" t="n"/>
      <c r="C146" s="7" t="n"/>
      <c r="D146" s="16">
        <f>IF(B146="",0,IFERROR(INDEX(Materiais!$G$2:$G$52,MATCH(B146,Materiais!$A$2:$A$52,0)),0))</f>
        <v/>
      </c>
      <c r="E146" s="18">
        <f>IF(B146="",0,C146*D146)</f>
        <v/>
      </c>
    </row>
    <row r="147">
      <c r="A147" s="7" t="n"/>
      <c r="B147" s="7" t="n"/>
      <c r="C147" s="7" t="n"/>
      <c r="D147" s="16">
        <f>IF(B147="",0,IFERROR(INDEX(Materiais!$G$2:$G$52,MATCH(B147,Materiais!$A$2:$A$52,0)),0))</f>
        <v/>
      </c>
      <c r="E147" s="18">
        <f>IF(B147="",0,C147*D147)</f>
        <v/>
      </c>
    </row>
    <row r="148">
      <c r="A148" s="7" t="n"/>
      <c r="B148" s="7" t="n"/>
      <c r="C148" s="7" t="n"/>
      <c r="D148" s="16">
        <f>IF(B148="",0,IFERROR(INDEX(Materiais!$G$2:$G$52,MATCH(B148,Materiais!$A$2:$A$52,0)),0))</f>
        <v/>
      </c>
      <c r="E148" s="18">
        <f>IF(B148="",0,C148*D148)</f>
        <v/>
      </c>
    </row>
    <row r="149">
      <c r="A149" s="7" t="n"/>
      <c r="B149" s="7" t="n"/>
      <c r="C149" s="7" t="n"/>
      <c r="D149" s="16">
        <f>IF(B149="",0,IFERROR(INDEX(Materiais!$G$2:$G$52,MATCH(B149,Materiais!$A$2:$A$52,0)),0))</f>
        <v/>
      </c>
      <c r="E149" s="18">
        <f>IF(B149="",0,C149*D149)</f>
        <v/>
      </c>
    </row>
    <row r="150">
      <c r="A150" s="7" t="n"/>
      <c r="B150" s="7" t="n"/>
      <c r="C150" s="7" t="n"/>
      <c r="D150" s="16">
        <f>IF(B150="",0,IFERROR(INDEX(Materiais!$G$2:$G$52,MATCH(B150,Materiais!$A$2:$A$52,0)),0))</f>
        <v/>
      </c>
      <c r="E150" s="18">
        <f>IF(B150="",0,C150*D150)</f>
        <v/>
      </c>
    </row>
    <row r="151">
      <c r="A151" s="7" t="n"/>
      <c r="B151" s="7" t="n"/>
      <c r="C151" s="7" t="n"/>
      <c r="D151" s="16">
        <f>IF(B151="",0,IFERROR(INDEX(Materiais!$G$2:$G$52,MATCH(B151,Materiais!$A$2:$A$52,0)),0))</f>
        <v/>
      </c>
      <c r="E151" s="18">
        <f>IF(B151="",0,C151*D151)</f>
        <v/>
      </c>
    </row>
    <row r="152">
      <c r="A152" s="7" t="n"/>
      <c r="B152" s="7" t="n"/>
      <c r="C152" s="7" t="n"/>
      <c r="D152" s="16">
        <f>IF(B152="",0,IFERROR(INDEX(Materiais!$G$2:$G$52,MATCH(B152,Materiais!$A$2:$A$52,0)),0))</f>
        <v/>
      </c>
      <c r="E152" s="18">
        <f>IF(B152="",0,C152*D152)</f>
        <v/>
      </c>
    </row>
    <row r="153">
      <c r="A153" s="7" t="n"/>
      <c r="B153" s="7" t="n"/>
      <c r="C153" s="7" t="n"/>
      <c r="D153" s="16">
        <f>IF(B153="",0,IFERROR(INDEX(Materiais!$G$2:$G$52,MATCH(B153,Materiais!$A$2:$A$52,0)),0))</f>
        <v/>
      </c>
      <c r="E153" s="18">
        <f>IF(B153="",0,C153*D153)</f>
        <v/>
      </c>
    </row>
    <row r="154">
      <c r="A154" s="7" t="n"/>
      <c r="B154" s="7" t="n"/>
      <c r="C154" s="7" t="n"/>
      <c r="D154" s="16">
        <f>IF(B154="",0,IFERROR(INDEX(Materiais!$G$2:$G$52,MATCH(B154,Materiais!$A$2:$A$52,0)),0))</f>
        <v/>
      </c>
      <c r="E154" s="18">
        <f>IF(B154="",0,C154*D154)</f>
        <v/>
      </c>
    </row>
    <row r="155">
      <c r="A155" s="7" t="n"/>
      <c r="B155" s="7" t="n"/>
      <c r="C155" s="7" t="n"/>
      <c r="D155" s="16">
        <f>IF(B155="",0,IFERROR(INDEX(Materiais!$G$2:$G$52,MATCH(B155,Materiais!$A$2:$A$52,0)),0))</f>
        <v/>
      </c>
      <c r="E155" s="18">
        <f>IF(B155="",0,C155*D155)</f>
        <v/>
      </c>
    </row>
    <row r="156">
      <c r="A156" s="7" t="n"/>
      <c r="B156" s="7" t="n"/>
      <c r="C156" s="7" t="n"/>
      <c r="D156" s="16">
        <f>IF(B156="",0,IFERROR(INDEX(Materiais!$G$2:$G$52,MATCH(B156,Materiais!$A$2:$A$52,0)),0))</f>
        <v/>
      </c>
      <c r="E156" s="18">
        <f>IF(B156="",0,C156*D156)</f>
        <v/>
      </c>
    </row>
    <row r="157">
      <c r="A157" s="7" t="n"/>
      <c r="B157" s="7" t="n"/>
      <c r="C157" s="7" t="n"/>
      <c r="D157" s="16">
        <f>IF(B157="",0,IFERROR(INDEX(Materiais!$G$2:$G$52,MATCH(B157,Materiais!$A$2:$A$52,0)),0))</f>
        <v/>
      </c>
      <c r="E157" s="18">
        <f>IF(B157="",0,C157*D157)</f>
        <v/>
      </c>
    </row>
    <row r="158">
      <c r="A158" s="7" t="n"/>
      <c r="B158" s="7" t="n"/>
      <c r="C158" s="7" t="n"/>
      <c r="D158" s="16">
        <f>IF(B158="",0,IFERROR(INDEX(Materiais!$G$2:$G$52,MATCH(B158,Materiais!$A$2:$A$52,0)),0))</f>
        <v/>
      </c>
      <c r="E158" s="18">
        <f>IF(B158="",0,C158*D158)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4" customWidth="1" min="3" max="3"/>
    <col width="10" customWidth="1" min="4" max="4"/>
    <col width="14" customWidth="1" min="5" max="5"/>
    <col width="14" customWidth="1" min="6" max="6"/>
    <col width="14" customWidth="1" min="7" max="7"/>
    <col width="14" customWidth="1" min="8" max="8"/>
    <col width="14" customWidth="1" min="9" max="9"/>
    <col width="13" customWidth="1" min="10" max="10"/>
    <col width="13" customWidth="1" min="11" max="11"/>
    <col width="13" customWidth="1" min="12" max="12"/>
    <col width="15" customWidth="1" min="13" max="13"/>
    <col width="11" customWidth="1" min="14" max="14"/>
    <col width="11" customWidth="1" min="15" max="15"/>
    <col width="14" customWidth="1" min="16" max="16"/>
    <col width="14" customWidth="1" min="17" max="17"/>
    <col width="18" customWidth="1" min="18" max="18"/>
    <col width="16" customWidth="1" min="19" max="19"/>
    <col width="12" customWidth="1" min="20" max="20"/>
    <col width="12" customWidth="1" min="21" max="21"/>
    <col width="12" customWidth="1" min="22" max="22"/>
    <col width="12" customWidth="1" min="23" max="23"/>
    <col width="12" customWidth="1" min="24" max="24"/>
    <col width="11" customWidth="1" min="25" max="25"/>
    <col width="16" customWidth="1" min="26" max="26"/>
    <col width="28" customWidth="1" min="27" max="27"/>
  </cols>
  <sheetData>
    <row r="1" ht="32" customHeight="1">
      <c r="A1" s="6" t="inlineStr">
        <is>
          <t>Código</t>
        </is>
      </c>
      <c r="B1" s="6" t="inlineStr">
        <is>
          <t>Procedimento</t>
        </is>
      </c>
      <c r="C1" s="6" t="inlineStr">
        <is>
          <t>Categoria</t>
        </is>
      </c>
      <c r="D1" s="6" t="inlineStr">
        <is>
          <t>Tempo (min)</t>
        </is>
      </c>
      <c r="E1" s="6" t="inlineStr">
        <is>
          <t>Laboratório / terceiros (R$)</t>
        </is>
      </c>
      <c r="F1" s="6" t="inlineStr">
        <is>
          <t>Outros materiais (R$)</t>
        </is>
      </c>
      <c r="G1" s="6" t="inlineStr">
        <is>
          <t>Valor cobrado hoje (R$)</t>
        </is>
      </c>
      <c r="H1" s="6" t="inlineStr">
        <is>
          <t>Comissão própria (vazio = padrão)</t>
        </is>
      </c>
      <c r="I1" s="6" t="inlineStr">
        <is>
          <t>Lucro próprio (vazio = padrão)</t>
        </is>
      </c>
      <c r="J1" s="6" t="inlineStr">
        <is>
          <t>Materiais (R$)</t>
        </is>
      </c>
      <c r="K1" s="6" t="inlineStr">
        <is>
          <t>Estrutura (R$)</t>
        </is>
      </c>
      <c r="L1" s="6" t="inlineStr">
        <is>
          <t>Hora clínica (R$)</t>
        </is>
      </c>
      <c r="M1" s="6" t="inlineStr">
        <is>
          <t>CUSTO DIRETO (R$)</t>
        </is>
      </c>
      <c r="N1" s="6" t="inlineStr">
        <is>
          <t>Comissão usada</t>
        </is>
      </c>
      <c r="O1" s="6" t="inlineStr">
        <is>
          <t>Lucro usado</t>
        </is>
      </c>
      <c r="P1" s="6" t="inlineStr">
        <is>
          <t>Preço PJ (R$)</t>
        </is>
      </c>
      <c r="Q1" s="6" t="inlineStr">
        <is>
          <t>Preço PF (R$)</t>
        </is>
      </c>
      <c r="R1" s="6" t="inlineStr">
        <is>
          <t>PREÇO SUGERIDO (regime escolhido)</t>
        </is>
      </c>
      <c r="S1" s="6" t="inlineStr">
        <is>
          <t>Preço mínimo (lucro zero)</t>
        </is>
      </c>
      <c r="T1" s="6" t="inlineStr">
        <is>
          <t>Cartão (R$)</t>
        </is>
      </c>
      <c r="U1" s="6" t="inlineStr">
        <is>
          <t>Comissão (R$)</t>
        </is>
      </c>
      <c r="V1" s="6" t="inlineStr">
        <is>
          <t>Taxas (R$)</t>
        </is>
      </c>
      <c r="W1" s="6" t="inlineStr">
        <is>
          <t>IR (R$)</t>
        </is>
      </c>
      <c r="X1" s="6" t="inlineStr">
        <is>
          <t>Lucro (R$)</t>
        </is>
      </c>
      <c r="Y1" s="6" t="inlineStr">
        <is>
          <t>Lucro real (%)</t>
        </is>
      </c>
      <c r="Z1" s="6" t="inlineStr">
        <is>
          <t>Sugerido − atual (R$)</t>
        </is>
      </c>
      <c r="AA1" s="6" t="inlineStr">
        <is>
          <t>Alerta</t>
        </is>
      </c>
    </row>
    <row r="2">
      <c r="A2" s="7" t="inlineStr">
        <is>
          <t>1.0</t>
        </is>
      </c>
      <c r="B2" s="7" t="inlineStr">
        <is>
          <t>Profilaxia</t>
        </is>
      </c>
      <c r="C2" s="7" t="inlineStr">
        <is>
          <t>Clínica Geral</t>
        </is>
      </c>
      <c r="D2" s="7" t="n">
        <v>60</v>
      </c>
      <c r="E2" s="8" t="n">
        <v>0</v>
      </c>
      <c r="F2" s="8" t="n">
        <v>2</v>
      </c>
      <c r="G2" s="8" t="n">
        <v>150</v>
      </c>
      <c r="H2" s="13" t="n"/>
      <c r="I2" s="13" t="n"/>
      <c r="J2" s="18">
        <f>IF($B2="","",SUMIFS(Itens!$E$2:$E$158,Itens!$A$2:$A$158,$B2)+N(F2))</f>
        <v/>
      </c>
      <c r="K2" s="18">
        <f>IF($B2="","",N(D2)/60*Parâmetros!$B$57)</f>
        <v/>
      </c>
      <c r="L2" s="18">
        <f>IF($B2="","",N(D2)/60*Parâmetros!$B$60)</f>
        <v/>
      </c>
      <c r="M2" s="11">
        <f>IF($B2="","",J2+N(E2)+K2+L2)</f>
        <v/>
      </c>
      <c r="N2" s="19">
        <f>IF($B2="","",IF(H2="",Parâmetros!$B$62,H2))</f>
        <v/>
      </c>
      <c r="O2" s="19">
        <f>IF($B2="","",IF(I2="",Parâmetros!$B$63,I2))</f>
        <v/>
      </c>
      <c r="P2" s="18">
        <f>IF($B2="","",IF(1-(Parâmetros!$B$61+N2+Parâmetros!$B$78)-Parâmetros!$B$66-O2&lt;=0,"ERRO",M2/(1-(Parâmetros!$B$61+N2+Parâmetros!$B$78)-Parâmetros!$B$66-O2)))</f>
        <v/>
      </c>
      <c r="Q2" s="18">
        <f>IF($B2="","",IF((1-Parâmetros!$B$65)*(1-(Parâmetros!$B$61+N2+Parâmetros!$B$78))-O2&lt;=0,"ERRO",(1-Parâmetros!$B$65)*M2/((1-Parâmetros!$B$65)*(1-(Parâmetros!$B$61+N2+Parâmetros!$B$78))-O2)))</f>
        <v/>
      </c>
      <c r="R2" s="11">
        <f>IF($B2="","",IF(Parâmetros!$B$64=2,P2,Q2))</f>
        <v/>
      </c>
      <c r="S2" s="18">
        <f>IF($B2="","",IF(Parâmetros!$B$64=2,IF(1-(Parâmetros!$B$61+N2+Parâmetros!$B$78)-Parâmetros!$B$66&lt;=0,"ERRO",M2/(1-(Parâmetros!$B$61+N2+Parâmetros!$B$78)-Parâmetros!$B$66)),IF((1-Parâmetros!$B$65)*(1-(Parâmetros!$B$61+N2+Parâmetros!$B$78))&lt;=0,"ERRO",(1-Parâmetros!$B$65)*M2/((1-Parâmetros!$B$65)*(1-(Parâmetros!$B$61+N2+Parâmetros!$B$78))))))</f>
        <v/>
      </c>
      <c r="T2" s="18">
        <f>IF($B2="","",IF(ISNUMBER(R2),R2*Parâmetros!$B$61,""))</f>
        <v/>
      </c>
      <c r="U2" s="18">
        <f>IF($B2="","",IF(ISNUMBER(R2),R2*N2,""))</f>
        <v/>
      </c>
      <c r="V2" s="18">
        <f>IF($B2="","",IF(ISNUMBER(R2),R2*Parâmetros!$B$78,""))</f>
        <v/>
      </c>
      <c r="W2" s="18">
        <f>IF($B2="","",IF(ISNUMBER(R2),IF(Parâmetros!$B$64=2,R2*Parâmetros!$B$66,Parâmetros!$B$65*(R2-M2-R2*(Parâmetros!$B$61+N2+Parâmetros!$B$78))),""))</f>
        <v/>
      </c>
      <c r="X2" s="11">
        <f>IF($B2="","",IF(ISNUMBER(R2),R2-M2-T2-U2-V2-W2,""))</f>
        <v/>
      </c>
      <c r="Y2" s="19">
        <f>IF($B2="","",IF(AND(ISNUMBER(R2),R2&gt;0),X2/R2,""))</f>
        <v/>
      </c>
      <c r="Z2" s="18">
        <f>IF($B2="","",IF(AND(ISNUMBER(R2),ISNUMBER(G2)),R2-G2,""))</f>
        <v/>
      </c>
      <c r="AA2" s="20">
        <f>IF($B2="","",IF(NOT(ISNUMBER(R2)),"Percentuais ≥ 100%",IF(N(D2)=0,"Sem tempo",IF(J2=0,"Sem materiais",""))))</f>
        <v/>
      </c>
    </row>
    <row r="3">
      <c r="A3" s="7" t="inlineStr">
        <is>
          <t>2.0</t>
        </is>
      </c>
      <c r="B3" s="7" t="inlineStr">
        <is>
          <t>Clareamento laser (1 sessão)</t>
        </is>
      </c>
      <c r="C3" s="7" t="inlineStr">
        <is>
          <t>Clínica Geral</t>
        </is>
      </c>
      <c r="D3" s="7" t="n">
        <v>90</v>
      </c>
      <c r="E3" s="8" t="n">
        <v>0</v>
      </c>
      <c r="F3" s="8" t="n">
        <v>63</v>
      </c>
      <c r="G3" s="8" t="n">
        <v>700</v>
      </c>
      <c r="H3" s="13" t="n"/>
      <c r="I3" s="13" t="n"/>
      <c r="J3" s="18">
        <f>IF($B3="","",SUMIFS(Itens!$E$2:$E$158,Itens!$A$2:$A$158,$B3)+N(F3))</f>
        <v/>
      </c>
      <c r="K3" s="18">
        <f>IF($B3="","",N(D3)/60*Parâmetros!$B$57)</f>
        <v/>
      </c>
      <c r="L3" s="18">
        <f>IF($B3="","",N(D3)/60*Parâmetros!$B$60)</f>
        <v/>
      </c>
      <c r="M3" s="11">
        <f>IF($B3="","",J3+N(E3)+K3+L3)</f>
        <v/>
      </c>
      <c r="N3" s="19">
        <f>IF($B3="","",IF(H3="",Parâmetros!$B$62,H3))</f>
        <v/>
      </c>
      <c r="O3" s="19">
        <f>IF($B3="","",IF(I3="",Parâmetros!$B$63,I3))</f>
        <v/>
      </c>
      <c r="P3" s="18">
        <f>IF($B3="","",IF(1-(Parâmetros!$B$61+N3+Parâmetros!$B$78)-Parâmetros!$B$66-O3&lt;=0,"ERRO",M3/(1-(Parâmetros!$B$61+N3+Parâmetros!$B$78)-Parâmetros!$B$66-O3)))</f>
        <v/>
      </c>
      <c r="Q3" s="18">
        <f>IF($B3="","",IF((1-Parâmetros!$B$65)*(1-(Parâmetros!$B$61+N3+Parâmetros!$B$78))-O3&lt;=0,"ERRO",(1-Parâmetros!$B$65)*M3/((1-Parâmetros!$B$65)*(1-(Parâmetros!$B$61+N3+Parâmetros!$B$78))-O3)))</f>
        <v/>
      </c>
      <c r="R3" s="11">
        <f>IF($B3="","",IF(Parâmetros!$B$64=2,P3,Q3))</f>
        <v/>
      </c>
      <c r="S3" s="18">
        <f>IF($B3="","",IF(Parâmetros!$B$64=2,IF(1-(Parâmetros!$B$61+N3+Parâmetros!$B$78)-Parâmetros!$B$66&lt;=0,"ERRO",M3/(1-(Parâmetros!$B$61+N3+Parâmetros!$B$78)-Parâmetros!$B$66)),IF((1-Parâmetros!$B$65)*(1-(Parâmetros!$B$61+N3+Parâmetros!$B$78))&lt;=0,"ERRO",(1-Parâmetros!$B$65)*M3/((1-Parâmetros!$B$65)*(1-(Parâmetros!$B$61+N3+Parâmetros!$B$78))))))</f>
        <v/>
      </c>
      <c r="T3" s="18">
        <f>IF($B3="","",IF(ISNUMBER(R3),R3*Parâmetros!$B$61,""))</f>
        <v/>
      </c>
      <c r="U3" s="18">
        <f>IF($B3="","",IF(ISNUMBER(R3),R3*N3,""))</f>
        <v/>
      </c>
      <c r="V3" s="18">
        <f>IF($B3="","",IF(ISNUMBER(R3),R3*Parâmetros!$B$78,""))</f>
        <v/>
      </c>
      <c r="W3" s="18">
        <f>IF($B3="","",IF(ISNUMBER(R3),IF(Parâmetros!$B$64=2,R3*Parâmetros!$B$66,Parâmetros!$B$65*(R3-M3-R3*(Parâmetros!$B$61+N3+Parâmetros!$B$78))),""))</f>
        <v/>
      </c>
      <c r="X3" s="11">
        <f>IF($B3="","",IF(ISNUMBER(R3),R3-M3-T3-U3-V3-W3,""))</f>
        <v/>
      </c>
      <c r="Y3" s="19">
        <f>IF($B3="","",IF(AND(ISNUMBER(R3),R3&gt;0),X3/R3,""))</f>
        <v/>
      </c>
      <c r="Z3" s="18">
        <f>IF($B3="","",IF(AND(ISNUMBER(R3),ISNUMBER(G3)),R3-G3,""))</f>
        <v/>
      </c>
      <c r="AA3" s="20">
        <f>IF($B3="","",IF(NOT(ISNUMBER(R3)),"Percentuais ≥ 100%",IF(N(D3)=0,"Sem tempo",IF(J3=0,"Sem materiais",""))))</f>
        <v/>
      </c>
    </row>
    <row r="4">
      <c r="A4" s="7" t="inlineStr">
        <is>
          <t>2.1</t>
        </is>
      </c>
      <c r="B4" s="7" t="inlineStr">
        <is>
          <t>Clareamento laser (2 sessões)</t>
        </is>
      </c>
      <c r="C4" s="7" t="inlineStr">
        <is>
          <t>Clínica Geral</t>
        </is>
      </c>
      <c r="D4" s="7" t="n">
        <v>180</v>
      </c>
      <c r="E4" s="8" t="n">
        <v>0</v>
      </c>
      <c r="F4" s="8" t="n">
        <v>126</v>
      </c>
      <c r="G4" s="8" t="n">
        <v>1200</v>
      </c>
      <c r="H4" s="13" t="n"/>
      <c r="I4" s="13" t="n"/>
      <c r="J4" s="18">
        <f>IF($B4="","",SUMIFS(Itens!$E$2:$E$158,Itens!$A$2:$A$158,$B4)+N(F4))</f>
        <v/>
      </c>
      <c r="K4" s="18">
        <f>IF($B4="","",N(D4)/60*Parâmetros!$B$57)</f>
        <v/>
      </c>
      <c r="L4" s="18">
        <f>IF($B4="","",N(D4)/60*Parâmetros!$B$60)</f>
        <v/>
      </c>
      <c r="M4" s="11">
        <f>IF($B4="","",J4+N(E4)+K4+L4)</f>
        <v/>
      </c>
      <c r="N4" s="19">
        <f>IF($B4="","",IF(H4="",Parâmetros!$B$62,H4))</f>
        <v/>
      </c>
      <c r="O4" s="19">
        <f>IF($B4="","",IF(I4="",Parâmetros!$B$63,I4))</f>
        <v/>
      </c>
      <c r="P4" s="18">
        <f>IF($B4="","",IF(1-(Parâmetros!$B$61+N4+Parâmetros!$B$78)-Parâmetros!$B$66-O4&lt;=0,"ERRO",M4/(1-(Parâmetros!$B$61+N4+Parâmetros!$B$78)-Parâmetros!$B$66-O4)))</f>
        <v/>
      </c>
      <c r="Q4" s="18">
        <f>IF($B4="","",IF((1-Parâmetros!$B$65)*(1-(Parâmetros!$B$61+N4+Parâmetros!$B$78))-O4&lt;=0,"ERRO",(1-Parâmetros!$B$65)*M4/((1-Parâmetros!$B$65)*(1-(Parâmetros!$B$61+N4+Parâmetros!$B$78))-O4)))</f>
        <v/>
      </c>
      <c r="R4" s="11">
        <f>IF($B4="","",IF(Parâmetros!$B$64=2,P4,Q4))</f>
        <v/>
      </c>
      <c r="S4" s="18">
        <f>IF($B4="","",IF(Parâmetros!$B$64=2,IF(1-(Parâmetros!$B$61+N4+Parâmetros!$B$78)-Parâmetros!$B$66&lt;=0,"ERRO",M4/(1-(Parâmetros!$B$61+N4+Parâmetros!$B$78)-Parâmetros!$B$66)),IF((1-Parâmetros!$B$65)*(1-(Parâmetros!$B$61+N4+Parâmetros!$B$78))&lt;=0,"ERRO",(1-Parâmetros!$B$65)*M4/((1-Parâmetros!$B$65)*(1-(Parâmetros!$B$61+N4+Parâmetros!$B$78))))))</f>
        <v/>
      </c>
      <c r="T4" s="18">
        <f>IF($B4="","",IF(ISNUMBER(R4),R4*Parâmetros!$B$61,""))</f>
        <v/>
      </c>
      <c r="U4" s="18">
        <f>IF($B4="","",IF(ISNUMBER(R4),R4*N4,""))</f>
        <v/>
      </c>
      <c r="V4" s="18">
        <f>IF($B4="","",IF(ISNUMBER(R4),R4*Parâmetros!$B$78,""))</f>
        <v/>
      </c>
      <c r="W4" s="18">
        <f>IF($B4="","",IF(ISNUMBER(R4),IF(Parâmetros!$B$64=2,R4*Parâmetros!$B$66,Parâmetros!$B$65*(R4-M4-R4*(Parâmetros!$B$61+N4+Parâmetros!$B$78))),""))</f>
        <v/>
      </c>
      <c r="X4" s="11">
        <f>IF($B4="","",IF(ISNUMBER(R4),R4-M4-T4-U4-V4-W4,""))</f>
        <v/>
      </c>
      <c r="Y4" s="19">
        <f>IF($B4="","",IF(AND(ISNUMBER(R4),R4&gt;0),X4/R4,""))</f>
        <v/>
      </c>
      <c r="Z4" s="18">
        <f>IF($B4="","",IF(AND(ISNUMBER(R4),ISNUMBER(G4)),R4-G4,""))</f>
        <v/>
      </c>
      <c r="AA4" s="20">
        <f>IF($B4="","",IF(NOT(ISNUMBER(R4)),"Percentuais ≥ 100%",IF(N(D4)=0,"Sem tempo",IF(J4=0,"Sem materiais",""))))</f>
        <v/>
      </c>
    </row>
    <row r="5">
      <c r="A5" s="7" t="inlineStr">
        <is>
          <t>2.2</t>
        </is>
      </c>
      <c r="B5" s="7" t="inlineStr">
        <is>
          <t>Clareamento laser (sessão avulsa)</t>
        </is>
      </c>
      <c r="C5" s="7" t="inlineStr">
        <is>
          <t>Clínica Geral</t>
        </is>
      </c>
      <c r="D5" s="7" t="n">
        <v>90</v>
      </c>
      <c r="E5" s="8" t="n">
        <v>0</v>
      </c>
      <c r="F5" s="8" t="n">
        <v>63</v>
      </c>
      <c r="G5" s="8" t="n">
        <v>700</v>
      </c>
      <c r="H5" s="13" t="n"/>
      <c r="I5" s="13" t="n"/>
      <c r="J5" s="18">
        <f>IF($B5="","",SUMIFS(Itens!$E$2:$E$158,Itens!$A$2:$A$158,$B5)+N(F5))</f>
        <v/>
      </c>
      <c r="K5" s="18">
        <f>IF($B5="","",N(D5)/60*Parâmetros!$B$57)</f>
        <v/>
      </c>
      <c r="L5" s="18">
        <f>IF($B5="","",N(D5)/60*Parâmetros!$B$60)</f>
        <v/>
      </c>
      <c r="M5" s="11">
        <f>IF($B5="","",J5+N(E5)+K5+L5)</f>
        <v/>
      </c>
      <c r="N5" s="19">
        <f>IF($B5="","",IF(H5="",Parâmetros!$B$62,H5))</f>
        <v/>
      </c>
      <c r="O5" s="19">
        <f>IF($B5="","",IF(I5="",Parâmetros!$B$63,I5))</f>
        <v/>
      </c>
      <c r="P5" s="18">
        <f>IF($B5="","",IF(1-(Parâmetros!$B$61+N5+Parâmetros!$B$78)-Parâmetros!$B$66-O5&lt;=0,"ERRO",M5/(1-(Parâmetros!$B$61+N5+Parâmetros!$B$78)-Parâmetros!$B$66-O5)))</f>
        <v/>
      </c>
      <c r="Q5" s="18">
        <f>IF($B5="","",IF((1-Parâmetros!$B$65)*(1-(Parâmetros!$B$61+N5+Parâmetros!$B$78))-O5&lt;=0,"ERRO",(1-Parâmetros!$B$65)*M5/((1-Parâmetros!$B$65)*(1-(Parâmetros!$B$61+N5+Parâmetros!$B$78))-O5)))</f>
        <v/>
      </c>
      <c r="R5" s="11">
        <f>IF($B5="","",IF(Parâmetros!$B$64=2,P5,Q5))</f>
        <v/>
      </c>
      <c r="S5" s="18">
        <f>IF($B5="","",IF(Parâmetros!$B$64=2,IF(1-(Parâmetros!$B$61+N5+Parâmetros!$B$78)-Parâmetros!$B$66&lt;=0,"ERRO",M5/(1-(Parâmetros!$B$61+N5+Parâmetros!$B$78)-Parâmetros!$B$66)),IF((1-Parâmetros!$B$65)*(1-(Parâmetros!$B$61+N5+Parâmetros!$B$78))&lt;=0,"ERRO",(1-Parâmetros!$B$65)*M5/((1-Parâmetros!$B$65)*(1-(Parâmetros!$B$61+N5+Parâmetros!$B$78))))))</f>
        <v/>
      </c>
      <c r="T5" s="18">
        <f>IF($B5="","",IF(ISNUMBER(R5),R5*Parâmetros!$B$61,""))</f>
        <v/>
      </c>
      <c r="U5" s="18">
        <f>IF($B5="","",IF(ISNUMBER(R5),R5*N5,""))</f>
        <v/>
      </c>
      <c r="V5" s="18">
        <f>IF($B5="","",IF(ISNUMBER(R5),R5*Parâmetros!$B$78,""))</f>
        <v/>
      </c>
      <c r="W5" s="18">
        <f>IF($B5="","",IF(ISNUMBER(R5),IF(Parâmetros!$B$64=2,R5*Parâmetros!$B$66,Parâmetros!$B$65*(R5-M5-R5*(Parâmetros!$B$61+N5+Parâmetros!$B$78))),""))</f>
        <v/>
      </c>
      <c r="X5" s="11">
        <f>IF($B5="","",IF(ISNUMBER(R5),R5-M5-T5-U5-V5-W5,""))</f>
        <v/>
      </c>
      <c r="Y5" s="19">
        <f>IF($B5="","",IF(AND(ISNUMBER(R5),R5&gt;0),X5/R5,""))</f>
        <v/>
      </c>
      <c r="Z5" s="18">
        <f>IF($B5="","",IF(AND(ISNUMBER(R5),ISNUMBER(G5)),R5-G5,""))</f>
        <v/>
      </c>
      <c r="AA5" s="20">
        <f>IF($B5="","",IF(NOT(ISNUMBER(R5)),"Percentuais ≥ 100%",IF(N(D5)=0,"Sem tempo",IF(J5=0,"Sem materiais",""))))</f>
        <v/>
      </c>
    </row>
    <row r="6">
      <c r="A6" s="7" t="inlineStr">
        <is>
          <t>2.3</t>
        </is>
      </c>
      <c r="B6" s="7" t="inlineStr">
        <is>
          <t>Clareamento caseiro (2 seringas)</t>
        </is>
      </c>
      <c r="C6" s="7" t="inlineStr">
        <is>
          <t>Clínica Geral</t>
        </is>
      </c>
      <c r="D6" s="7" t="n">
        <v>60</v>
      </c>
      <c r="E6" s="8" t="n">
        <v>0</v>
      </c>
      <c r="F6" s="8" t="n">
        <v>70</v>
      </c>
      <c r="G6" s="8" t="n">
        <v>650</v>
      </c>
      <c r="H6" s="13" t="n"/>
      <c r="I6" s="13" t="n"/>
      <c r="J6" s="18">
        <f>IF($B6="","",SUMIFS(Itens!$E$2:$E$158,Itens!$A$2:$A$158,$B6)+N(F6))</f>
        <v/>
      </c>
      <c r="K6" s="18">
        <f>IF($B6="","",N(D6)/60*Parâmetros!$B$57)</f>
        <v/>
      </c>
      <c r="L6" s="18">
        <f>IF($B6="","",N(D6)/60*Parâmetros!$B$60)</f>
        <v/>
      </c>
      <c r="M6" s="11">
        <f>IF($B6="","",J6+N(E6)+K6+L6)</f>
        <v/>
      </c>
      <c r="N6" s="19">
        <f>IF($B6="","",IF(H6="",Parâmetros!$B$62,H6))</f>
        <v/>
      </c>
      <c r="O6" s="19">
        <f>IF($B6="","",IF(I6="",Parâmetros!$B$63,I6))</f>
        <v/>
      </c>
      <c r="P6" s="18">
        <f>IF($B6="","",IF(1-(Parâmetros!$B$61+N6+Parâmetros!$B$78)-Parâmetros!$B$66-O6&lt;=0,"ERRO",M6/(1-(Parâmetros!$B$61+N6+Parâmetros!$B$78)-Parâmetros!$B$66-O6)))</f>
        <v/>
      </c>
      <c r="Q6" s="18">
        <f>IF($B6="","",IF((1-Parâmetros!$B$65)*(1-(Parâmetros!$B$61+N6+Parâmetros!$B$78))-O6&lt;=0,"ERRO",(1-Parâmetros!$B$65)*M6/((1-Parâmetros!$B$65)*(1-(Parâmetros!$B$61+N6+Parâmetros!$B$78))-O6)))</f>
        <v/>
      </c>
      <c r="R6" s="11">
        <f>IF($B6="","",IF(Parâmetros!$B$64=2,P6,Q6))</f>
        <v/>
      </c>
      <c r="S6" s="18">
        <f>IF($B6="","",IF(Parâmetros!$B$64=2,IF(1-(Parâmetros!$B$61+N6+Parâmetros!$B$78)-Parâmetros!$B$66&lt;=0,"ERRO",M6/(1-(Parâmetros!$B$61+N6+Parâmetros!$B$78)-Parâmetros!$B$66)),IF((1-Parâmetros!$B$65)*(1-(Parâmetros!$B$61+N6+Parâmetros!$B$78))&lt;=0,"ERRO",(1-Parâmetros!$B$65)*M6/((1-Parâmetros!$B$65)*(1-(Parâmetros!$B$61+N6+Parâmetros!$B$78))))))</f>
        <v/>
      </c>
      <c r="T6" s="18">
        <f>IF($B6="","",IF(ISNUMBER(R6),R6*Parâmetros!$B$61,""))</f>
        <v/>
      </c>
      <c r="U6" s="18">
        <f>IF($B6="","",IF(ISNUMBER(R6),R6*N6,""))</f>
        <v/>
      </c>
      <c r="V6" s="18">
        <f>IF($B6="","",IF(ISNUMBER(R6),R6*Parâmetros!$B$78,""))</f>
        <v/>
      </c>
      <c r="W6" s="18">
        <f>IF($B6="","",IF(ISNUMBER(R6),IF(Parâmetros!$B$64=2,R6*Parâmetros!$B$66,Parâmetros!$B$65*(R6-M6-R6*(Parâmetros!$B$61+N6+Parâmetros!$B$78))),""))</f>
        <v/>
      </c>
      <c r="X6" s="11">
        <f>IF($B6="","",IF(ISNUMBER(R6),R6-M6-T6-U6-V6-W6,""))</f>
        <v/>
      </c>
      <c r="Y6" s="19">
        <f>IF($B6="","",IF(AND(ISNUMBER(R6),R6&gt;0),X6/R6,""))</f>
        <v/>
      </c>
      <c r="Z6" s="18">
        <f>IF($B6="","",IF(AND(ISNUMBER(R6),ISNUMBER(G6)),R6-G6,""))</f>
        <v/>
      </c>
      <c r="AA6" s="20">
        <f>IF($B6="","",IF(NOT(ISNUMBER(R6)),"Percentuais ≥ 100%",IF(N(D6)=0,"Sem tempo",IF(J6=0,"Sem materiais",""))))</f>
        <v/>
      </c>
    </row>
    <row r="7">
      <c r="A7" s="7" t="inlineStr">
        <is>
          <t>2.4</t>
        </is>
      </c>
      <c r="B7" s="7" t="inlineStr">
        <is>
          <t>Seringa avulsa clareador</t>
        </is>
      </c>
      <c r="C7" s="7" t="inlineStr">
        <is>
          <t>Clínica Geral</t>
        </is>
      </c>
      <c r="D7" s="7" t="n">
        <v>0</v>
      </c>
      <c r="E7" s="8" t="n">
        <v>0</v>
      </c>
      <c r="F7" s="8" t="n">
        <v>20</v>
      </c>
      <c r="G7" s="8" t="n">
        <v>350</v>
      </c>
      <c r="H7" s="13" t="n"/>
      <c r="I7" s="13" t="n"/>
      <c r="J7" s="18">
        <f>IF($B7="","",SUMIFS(Itens!$E$2:$E$158,Itens!$A$2:$A$158,$B7)+N(F7))</f>
        <v/>
      </c>
      <c r="K7" s="18">
        <f>IF($B7="","",N(D7)/60*Parâmetros!$B$57)</f>
        <v/>
      </c>
      <c r="L7" s="18">
        <f>IF($B7="","",N(D7)/60*Parâmetros!$B$60)</f>
        <v/>
      </c>
      <c r="M7" s="11">
        <f>IF($B7="","",J7+N(E7)+K7+L7)</f>
        <v/>
      </c>
      <c r="N7" s="19">
        <f>IF($B7="","",IF(H7="",Parâmetros!$B$62,H7))</f>
        <v/>
      </c>
      <c r="O7" s="19">
        <f>IF($B7="","",IF(I7="",Parâmetros!$B$63,I7))</f>
        <v/>
      </c>
      <c r="P7" s="18">
        <f>IF($B7="","",IF(1-(Parâmetros!$B$61+N7+Parâmetros!$B$78)-Parâmetros!$B$66-O7&lt;=0,"ERRO",M7/(1-(Parâmetros!$B$61+N7+Parâmetros!$B$78)-Parâmetros!$B$66-O7)))</f>
        <v/>
      </c>
      <c r="Q7" s="18">
        <f>IF($B7="","",IF((1-Parâmetros!$B$65)*(1-(Parâmetros!$B$61+N7+Parâmetros!$B$78))-O7&lt;=0,"ERRO",(1-Parâmetros!$B$65)*M7/((1-Parâmetros!$B$65)*(1-(Parâmetros!$B$61+N7+Parâmetros!$B$78))-O7)))</f>
        <v/>
      </c>
      <c r="R7" s="11">
        <f>IF($B7="","",IF(Parâmetros!$B$64=2,P7,Q7))</f>
        <v/>
      </c>
      <c r="S7" s="18">
        <f>IF($B7="","",IF(Parâmetros!$B$64=2,IF(1-(Parâmetros!$B$61+N7+Parâmetros!$B$78)-Parâmetros!$B$66&lt;=0,"ERRO",M7/(1-(Parâmetros!$B$61+N7+Parâmetros!$B$78)-Parâmetros!$B$66)),IF((1-Parâmetros!$B$65)*(1-(Parâmetros!$B$61+N7+Parâmetros!$B$78))&lt;=0,"ERRO",(1-Parâmetros!$B$65)*M7/((1-Parâmetros!$B$65)*(1-(Parâmetros!$B$61+N7+Parâmetros!$B$78))))))</f>
        <v/>
      </c>
      <c r="T7" s="18">
        <f>IF($B7="","",IF(ISNUMBER(R7),R7*Parâmetros!$B$61,""))</f>
        <v/>
      </c>
      <c r="U7" s="18">
        <f>IF($B7="","",IF(ISNUMBER(R7),R7*N7,""))</f>
        <v/>
      </c>
      <c r="V7" s="18">
        <f>IF($B7="","",IF(ISNUMBER(R7),R7*Parâmetros!$B$78,""))</f>
        <v/>
      </c>
      <c r="W7" s="18">
        <f>IF($B7="","",IF(ISNUMBER(R7),IF(Parâmetros!$B$64=2,R7*Parâmetros!$B$66,Parâmetros!$B$65*(R7-M7-R7*(Parâmetros!$B$61+N7+Parâmetros!$B$78))),""))</f>
        <v/>
      </c>
      <c r="X7" s="11">
        <f>IF($B7="","",IF(ISNUMBER(R7),R7-M7-T7-U7-V7-W7,""))</f>
        <v/>
      </c>
      <c r="Y7" s="19">
        <f>IF($B7="","",IF(AND(ISNUMBER(R7),R7&gt;0),X7/R7,""))</f>
        <v/>
      </c>
      <c r="Z7" s="18">
        <f>IF($B7="","",IF(AND(ISNUMBER(R7),ISNUMBER(G7)),R7-G7,""))</f>
        <v/>
      </c>
      <c r="AA7" s="20">
        <f>IF($B7="","",IF(NOT(ISNUMBER(R7)),"Percentuais ≥ 100%",IF(N(D7)=0,"Sem tempo",IF(J7=0,"Sem materiais",""))))</f>
        <v/>
      </c>
    </row>
    <row r="8">
      <c r="A8" s="7" t="n"/>
      <c r="B8" s="7" t="inlineStr">
        <is>
          <t>Clareamento interno unitário</t>
        </is>
      </c>
      <c r="C8" s="7" t="inlineStr">
        <is>
          <t>Clínica Geral</t>
        </is>
      </c>
      <c r="D8" s="7" t="n">
        <v>90</v>
      </c>
      <c r="E8" s="8" t="n">
        <v>0</v>
      </c>
      <c r="F8" s="8" t="n">
        <v>20</v>
      </c>
      <c r="G8" s="8" t="n"/>
      <c r="H8" s="13" t="n"/>
      <c r="I8" s="13" t="n"/>
      <c r="J8" s="18">
        <f>IF($B8="","",SUMIFS(Itens!$E$2:$E$158,Itens!$A$2:$A$158,$B8)+N(F8))</f>
        <v/>
      </c>
      <c r="K8" s="18">
        <f>IF($B8="","",N(D8)/60*Parâmetros!$B$57)</f>
        <v/>
      </c>
      <c r="L8" s="18">
        <f>IF($B8="","",N(D8)/60*Parâmetros!$B$60)</f>
        <v/>
      </c>
      <c r="M8" s="11">
        <f>IF($B8="","",J8+N(E8)+K8+L8)</f>
        <v/>
      </c>
      <c r="N8" s="19">
        <f>IF($B8="","",IF(H8="",Parâmetros!$B$62,H8))</f>
        <v/>
      </c>
      <c r="O8" s="19">
        <f>IF($B8="","",IF(I8="",Parâmetros!$B$63,I8))</f>
        <v/>
      </c>
      <c r="P8" s="18">
        <f>IF($B8="","",IF(1-(Parâmetros!$B$61+N8+Parâmetros!$B$78)-Parâmetros!$B$66-O8&lt;=0,"ERRO",M8/(1-(Parâmetros!$B$61+N8+Parâmetros!$B$78)-Parâmetros!$B$66-O8)))</f>
        <v/>
      </c>
      <c r="Q8" s="18">
        <f>IF($B8="","",IF((1-Parâmetros!$B$65)*(1-(Parâmetros!$B$61+N8+Parâmetros!$B$78))-O8&lt;=0,"ERRO",(1-Parâmetros!$B$65)*M8/((1-Parâmetros!$B$65)*(1-(Parâmetros!$B$61+N8+Parâmetros!$B$78))-O8)))</f>
        <v/>
      </c>
      <c r="R8" s="11">
        <f>IF($B8="","",IF(Parâmetros!$B$64=2,P8,Q8))</f>
        <v/>
      </c>
      <c r="S8" s="18">
        <f>IF($B8="","",IF(Parâmetros!$B$64=2,IF(1-(Parâmetros!$B$61+N8+Parâmetros!$B$78)-Parâmetros!$B$66&lt;=0,"ERRO",M8/(1-(Parâmetros!$B$61+N8+Parâmetros!$B$78)-Parâmetros!$B$66)),IF((1-Parâmetros!$B$65)*(1-(Parâmetros!$B$61+N8+Parâmetros!$B$78))&lt;=0,"ERRO",(1-Parâmetros!$B$65)*M8/((1-Parâmetros!$B$65)*(1-(Parâmetros!$B$61+N8+Parâmetros!$B$78))))))</f>
        <v/>
      </c>
      <c r="T8" s="18">
        <f>IF($B8="","",IF(ISNUMBER(R8),R8*Parâmetros!$B$61,""))</f>
        <v/>
      </c>
      <c r="U8" s="18">
        <f>IF($B8="","",IF(ISNUMBER(R8),R8*N8,""))</f>
        <v/>
      </c>
      <c r="V8" s="18">
        <f>IF($B8="","",IF(ISNUMBER(R8),R8*Parâmetros!$B$78,""))</f>
        <v/>
      </c>
      <c r="W8" s="18">
        <f>IF($B8="","",IF(ISNUMBER(R8),IF(Parâmetros!$B$64=2,R8*Parâmetros!$B$66,Parâmetros!$B$65*(R8-M8-R8*(Parâmetros!$B$61+N8+Parâmetros!$B$78))),""))</f>
        <v/>
      </c>
      <c r="X8" s="11">
        <f>IF($B8="","",IF(ISNUMBER(R8),R8-M8-T8-U8-V8-W8,""))</f>
        <v/>
      </c>
      <c r="Y8" s="19">
        <f>IF($B8="","",IF(AND(ISNUMBER(R8),R8&gt;0),X8/R8,""))</f>
        <v/>
      </c>
      <c r="Z8" s="18">
        <f>IF($B8="","",IF(AND(ISNUMBER(R8),ISNUMBER(G8)),R8-G8,""))</f>
        <v/>
      </c>
      <c r="AA8" s="20">
        <f>IF($B8="","",IF(NOT(ISNUMBER(R8)),"Percentuais ≥ 100%",IF(N(D8)=0,"Sem tempo",IF(J8=0,"Sem materiais",""))))</f>
        <v/>
      </c>
    </row>
    <row r="9">
      <c r="A9" s="7" t="inlineStr">
        <is>
          <t>3.0</t>
        </is>
      </c>
      <c r="B9" s="7" t="inlineStr">
        <is>
          <t>Restauração simples 1 face</t>
        </is>
      </c>
      <c r="C9" s="7" t="inlineStr">
        <is>
          <t>Clínica Geral</t>
        </is>
      </c>
      <c r="D9" s="7" t="n">
        <v>60</v>
      </c>
      <c r="E9" s="8" t="n">
        <v>0</v>
      </c>
      <c r="F9" s="8" t="n">
        <v>30</v>
      </c>
      <c r="G9" s="8" t="n"/>
      <c r="H9" s="13" t="n"/>
      <c r="I9" s="13" t="n"/>
      <c r="J9" s="18">
        <f>IF($B9="","",SUMIFS(Itens!$E$2:$E$158,Itens!$A$2:$A$158,$B9)+N(F9))</f>
        <v/>
      </c>
      <c r="K9" s="18">
        <f>IF($B9="","",N(D9)/60*Parâmetros!$B$57)</f>
        <v/>
      </c>
      <c r="L9" s="18">
        <f>IF($B9="","",N(D9)/60*Parâmetros!$B$60)</f>
        <v/>
      </c>
      <c r="M9" s="11">
        <f>IF($B9="","",J9+N(E9)+K9+L9)</f>
        <v/>
      </c>
      <c r="N9" s="19">
        <f>IF($B9="","",IF(H9="",Parâmetros!$B$62,H9))</f>
        <v/>
      </c>
      <c r="O9" s="19">
        <f>IF($B9="","",IF(I9="",Parâmetros!$B$63,I9))</f>
        <v/>
      </c>
      <c r="P9" s="18">
        <f>IF($B9="","",IF(1-(Parâmetros!$B$61+N9+Parâmetros!$B$78)-Parâmetros!$B$66-O9&lt;=0,"ERRO",M9/(1-(Parâmetros!$B$61+N9+Parâmetros!$B$78)-Parâmetros!$B$66-O9)))</f>
        <v/>
      </c>
      <c r="Q9" s="18">
        <f>IF($B9="","",IF((1-Parâmetros!$B$65)*(1-(Parâmetros!$B$61+N9+Parâmetros!$B$78))-O9&lt;=0,"ERRO",(1-Parâmetros!$B$65)*M9/((1-Parâmetros!$B$65)*(1-(Parâmetros!$B$61+N9+Parâmetros!$B$78))-O9)))</f>
        <v/>
      </c>
      <c r="R9" s="11">
        <f>IF($B9="","",IF(Parâmetros!$B$64=2,P9,Q9))</f>
        <v/>
      </c>
      <c r="S9" s="18">
        <f>IF($B9="","",IF(Parâmetros!$B$64=2,IF(1-(Parâmetros!$B$61+N9+Parâmetros!$B$78)-Parâmetros!$B$66&lt;=0,"ERRO",M9/(1-(Parâmetros!$B$61+N9+Parâmetros!$B$78)-Parâmetros!$B$66)),IF((1-Parâmetros!$B$65)*(1-(Parâmetros!$B$61+N9+Parâmetros!$B$78))&lt;=0,"ERRO",(1-Parâmetros!$B$65)*M9/((1-Parâmetros!$B$65)*(1-(Parâmetros!$B$61+N9+Parâmetros!$B$78))))))</f>
        <v/>
      </c>
      <c r="T9" s="18">
        <f>IF($B9="","",IF(ISNUMBER(R9),R9*Parâmetros!$B$61,""))</f>
        <v/>
      </c>
      <c r="U9" s="18">
        <f>IF($B9="","",IF(ISNUMBER(R9),R9*N9,""))</f>
        <v/>
      </c>
      <c r="V9" s="18">
        <f>IF($B9="","",IF(ISNUMBER(R9),R9*Parâmetros!$B$78,""))</f>
        <v/>
      </c>
      <c r="W9" s="18">
        <f>IF($B9="","",IF(ISNUMBER(R9),IF(Parâmetros!$B$64=2,R9*Parâmetros!$B$66,Parâmetros!$B$65*(R9-M9-R9*(Parâmetros!$B$61+N9+Parâmetros!$B$78))),""))</f>
        <v/>
      </c>
      <c r="X9" s="11">
        <f>IF($B9="","",IF(ISNUMBER(R9),R9-M9-T9-U9-V9-W9,""))</f>
        <v/>
      </c>
      <c r="Y9" s="19">
        <f>IF($B9="","",IF(AND(ISNUMBER(R9),R9&gt;0),X9/R9,""))</f>
        <v/>
      </c>
      <c r="Z9" s="18">
        <f>IF($B9="","",IF(AND(ISNUMBER(R9),ISNUMBER(G9)),R9-G9,""))</f>
        <v/>
      </c>
      <c r="AA9" s="20">
        <f>IF($B9="","",IF(NOT(ISNUMBER(R9)),"Percentuais ≥ 100%",IF(N(D9)=0,"Sem tempo",IF(J9=0,"Sem materiais",""))))</f>
        <v/>
      </c>
    </row>
    <row r="10">
      <c r="A10" s="7" t="inlineStr">
        <is>
          <t>3.1</t>
        </is>
      </c>
      <c r="B10" s="7" t="inlineStr">
        <is>
          <t>Restauração simples 2 faces</t>
        </is>
      </c>
      <c r="C10" s="7" t="inlineStr">
        <is>
          <t>Clínica Geral</t>
        </is>
      </c>
      <c r="D10" s="7" t="n">
        <v>60</v>
      </c>
      <c r="E10" s="8" t="n">
        <v>0</v>
      </c>
      <c r="F10" s="8" t="n">
        <v>40</v>
      </c>
      <c r="G10" s="8" t="n"/>
      <c r="H10" s="13" t="n"/>
      <c r="I10" s="13" t="n"/>
      <c r="J10" s="18">
        <f>IF($B10="","",SUMIFS(Itens!$E$2:$E$158,Itens!$A$2:$A$158,$B10)+N(F10))</f>
        <v/>
      </c>
      <c r="K10" s="18">
        <f>IF($B10="","",N(D10)/60*Parâmetros!$B$57)</f>
        <v/>
      </c>
      <c r="L10" s="18">
        <f>IF($B10="","",N(D10)/60*Parâmetros!$B$60)</f>
        <v/>
      </c>
      <c r="M10" s="11">
        <f>IF($B10="","",J10+N(E10)+K10+L10)</f>
        <v/>
      </c>
      <c r="N10" s="19">
        <f>IF($B10="","",IF(H10="",Parâmetros!$B$62,H10))</f>
        <v/>
      </c>
      <c r="O10" s="19">
        <f>IF($B10="","",IF(I10="",Parâmetros!$B$63,I10))</f>
        <v/>
      </c>
      <c r="P10" s="18">
        <f>IF($B10="","",IF(1-(Parâmetros!$B$61+N10+Parâmetros!$B$78)-Parâmetros!$B$66-O10&lt;=0,"ERRO",M10/(1-(Parâmetros!$B$61+N10+Parâmetros!$B$78)-Parâmetros!$B$66-O10)))</f>
        <v/>
      </c>
      <c r="Q10" s="18">
        <f>IF($B10="","",IF((1-Parâmetros!$B$65)*(1-(Parâmetros!$B$61+N10+Parâmetros!$B$78))-O10&lt;=0,"ERRO",(1-Parâmetros!$B$65)*M10/((1-Parâmetros!$B$65)*(1-(Parâmetros!$B$61+N10+Parâmetros!$B$78))-O10)))</f>
        <v/>
      </c>
      <c r="R10" s="11">
        <f>IF($B10="","",IF(Parâmetros!$B$64=2,P10,Q10))</f>
        <v/>
      </c>
      <c r="S10" s="18">
        <f>IF($B10="","",IF(Parâmetros!$B$64=2,IF(1-(Parâmetros!$B$61+N10+Parâmetros!$B$78)-Parâmetros!$B$66&lt;=0,"ERRO",M10/(1-(Parâmetros!$B$61+N10+Parâmetros!$B$78)-Parâmetros!$B$66)),IF((1-Parâmetros!$B$65)*(1-(Parâmetros!$B$61+N10+Parâmetros!$B$78))&lt;=0,"ERRO",(1-Parâmetros!$B$65)*M10/((1-Parâmetros!$B$65)*(1-(Parâmetros!$B$61+N10+Parâmetros!$B$78))))))</f>
        <v/>
      </c>
      <c r="T10" s="18">
        <f>IF($B10="","",IF(ISNUMBER(R10),R10*Parâmetros!$B$61,""))</f>
        <v/>
      </c>
      <c r="U10" s="18">
        <f>IF($B10="","",IF(ISNUMBER(R10),R10*N10,""))</f>
        <v/>
      </c>
      <c r="V10" s="18">
        <f>IF($B10="","",IF(ISNUMBER(R10),R10*Parâmetros!$B$78,""))</f>
        <v/>
      </c>
      <c r="W10" s="18">
        <f>IF($B10="","",IF(ISNUMBER(R10),IF(Parâmetros!$B$64=2,R10*Parâmetros!$B$66,Parâmetros!$B$65*(R10-M10-R10*(Parâmetros!$B$61+N10+Parâmetros!$B$78))),""))</f>
        <v/>
      </c>
      <c r="X10" s="11">
        <f>IF($B10="","",IF(ISNUMBER(R10),R10-M10-T10-U10-V10-W10,""))</f>
        <v/>
      </c>
      <c r="Y10" s="19">
        <f>IF($B10="","",IF(AND(ISNUMBER(R10),R10&gt;0),X10/R10,""))</f>
        <v/>
      </c>
      <c r="Z10" s="18">
        <f>IF($B10="","",IF(AND(ISNUMBER(R10),ISNUMBER(G10)),R10-G10,""))</f>
        <v/>
      </c>
      <c r="AA10" s="20">
        <f>IF($B10="","",IF(NOT(ISNUMBER(R10)),"Percentuais ≥ 100%",IF(N(D10)=0,"Sem tempo",IF(J10=0,"Sem materiais",""))))</f>
        <v/>
      </c>
    </row>
    <row r="11">
      <c r="A11" s="7" t="inlineStr">
        <is>
          <t>3.2</t>
        </is>
      </c>
      <c r="B11" s="7" t="inlineStr">
        <is>
          <t>Restauração simples 3 faces</t>
        </is>
      </c>
      <c r="C11" s="7" t="inlineStr">
        <is>
          <t>Clínica Geral</t>
        </is>
      </c>
      <c r="D11" s="7" t="n">
        <v>60</v>
      </c>
      <c r="E11" s="8" t="n">
        <v>0</v>
      </c>
      <c r="F11" s="8" t="n">
        <v>50</v>
      </c>
      <c r="G11" s="8" t="n"/>
      <c r="H11" s="13" t="n"/>
      <c r="I11" s="13" t="n"/>
      <c r="J11" s="18">
        <f>IF($B11="","",SUMIFS(Itens!$E$2:$E$158,Itens!$A$2:$A$158,$B11)+N(F11))</f>
        <v/>
      </c>
      <c r="K11" s="18">
        <f>IF($B11="","",N(D11)/60*Parâmetros!$B$57)</f>
        <v/>
      </c>
      <c r="L11" s="18">
        <f>IF($B11="","",N(D11)/60*Parâmetros!$B$60)</f>
        <v/>
      </c>
      <c r="M11" s="11">
        <f>IF($B11="","",J11+N(E11)+K11+L11)</f>
        <v/>
      </c>
      <c r="N11" s="19">
        <f>IF($B11="","",IF(H11="",Parâmetros!$B$62,H11))</f>
        <v/>
      </c>
      <c r="O11" s="19">
        <f>IF($B11="","",IF(I11="",Parâmetros!$B$63,I11))</f>
        <v/>
      </c>
      <c r="P11" s="18">
        <f>IF($B11="","",IF(1-(Parâmetros!$B$61+N11+Parâmetros!$B$78)-Parâmetros!$B$66-O11&lt;=0,"ERRO",M11/(1-(Parâmetros!$B$61+N11+Parâmetros!$B$78)-Parâmetros!$B$66-O11)))</f>
        <v/>
      </c>
      <c r="Q11" s="18">
        <f>IF($B11="","",IF((1-Parâmetros!$B$65)*(1-(Parâmetros!$B$61+N11+Parâmetros!$B$78))-O11&lt;=0,"ERRO",(1-Parâmetros!$B$65)*M11/((1-Parâmetros!$B$65)*(1-(Parâmetros!$B$61+N11+Parâmetros!$B$78))-O11)))</f>
        <v/>
      </c>
      <c r="R11" s="11">
        <f>IF($B11="","",IF(Parâmetros!$B$64=2,P11,Q11))</f>
        <v/>
      </c>
      <c r="S11" s="18">
        <f>IF($B11="","",IF(Parâmetros!$B$64=2,IF(1-(Parâmetros!$B$61+N11+Parâmetros!$B$78)-Parâmetros!$B$66&lt;=0,"ERRO",M11/(1-(Parâmetros!$B$61+N11+Parâmetros!$B$78)-Parâmetros!$B$66)),IF((1-Parâmetros!$B$65)*(1-(Parâmetros!$B$61+N11+Parâmetros!$B$78))&lt;=0,"ERRO",(1-Parâmetros!$B$65)*M11/((1-Parâmetros!$B$65)*(1-(Parâmetros!$B$61+N11+Parâmetros!$B$78))))))</f>
        <v/>
      </c>
      <c r="T11" s="18">
        <f>IF($B11="","",IF(ISNUMBER(R11),R11*Parâmetros!$B$61,""))</f>
        <v/>
      </c>
      <c r="U11" s="18">
        <f>IF($B11="","",IF(ISNUMBER(R11),R11*N11,""))</f>
        <v/>
      </c>
      <c r="V11" s="18">
        <f>IF($B11="","",IF(ISNUMBER(R11),R11*Parâmetros!$B$78,""))</f>
        <v/>
      </c>
      <c r="W11" s="18">
        <f>IF($B11="","",IF(ISNUMBER(R11),IF(Parâmetros!$B$64=2,R11*Parâmetros!$B$66,Parâmetros!$B$65*(R11-M11-R11*(Parâmetros!$B$61+N11+Parâmetros!$B$78))),""))</f>
        <v/>
      </c>
      <c r="X11" s="11">
        <f>IF($B11="","",IF(ISNUMBER(R11),R11-M11-T11-U11-V11-W11,""))</f>
        <v/>
      </c>
      <c r="Y11" s="19">
        <f>IF($B11="","",IF(AND(ISNUMBER(R11),R11&gt;0),X11/R11,""))</f>
        <v/>
      </c>
      <c r="Z11" s="18">
        <f>IF($B11="","",IF(AND(ISNUMBER(R11),ISNUMBER(G11)),R11-G11,""))</f>
        <v/>
      </c>
      <c r="AA11" s="20">
        <f>IF($B11="","",IF(NOT(ISNUMBER(R11)),"Percentuais ≥ 100%",IF(N(D11)=0,"Sem tempo",IF(J11=0,"Sem materiais",""))))</f>
        <v/>
      </c>
    </row>
    <row r="12">
      <c r="A12" s="7" t="inlineStr">
        <is>
          <t>3.3</t>
        </is>
      </c>
      <c r="B12" s="7" t="inlineStr">
        <is>
          <t>Restauração em resina com pino fibra de vidro</t>
        </is>
      </c>
      <c r="C12" s="7" t="inlineStr">
        <is>
          <t>Clínica Geral</t>
        </is>
      </c>
      <c r="D12" s="7" t="n">
        <v>120</v>
      </c>
      <c r="E12" s="8" t="n">
        <v>0</v>
      </c>
      <c r="F12" s="8" t="n">
        <v>150</v>
      </c>
      <c r="G12" s="8" t="n"/>
      <c r="H12" s="13" t="n"/>
      <c r="I12" s="13" t="n"/>
      <c r="J12" s="18">
        <f>IF($B12="","",SUMIFS(Itens!$E$2:$E$158,Itens!$A$2:$A$158,$B12)+N(F12))</f>
        <v/>
      </c>
      <c r="K12" s="18">
        <f>IF($B12="","",N(D12)/60*Parâmetros!$B$57)</f>
        <v/>
      </c>
      <c r="L12" s="18">
        <f>IF($B12="","",N(D12)/60*Parâmetros!$B$60)</f>
        <v/>
      </c>
      <c r="M12" s="11">
        <f>IF($B12="","",J12+N(E12)+K12+L12)</f>
        <v/>
      </c>
      <c r="N12" s="19">
        <f>IF($B12="","",IF(H12="",Parâmetros!$B$62,H12))</f>
        <v/>
      </c>
      <c r="O12" s="19">
        <f>IF($B12="","",IF(I12="",Parâmetros!$B$63,I12))</f>
        <v/>
      </c>
      <c r="P12" s="18">
        <f>IF($B12="","",IF(1-(Parâmetros!$B$61+N12+Parâmetros!$B$78)-Parâmetros!$B$66-O12&lt;=0,"ERRO",M12/(1-(Parâmetros!$B$61+N12+Parâmetros!$B$78)-Parâmetros!$B$66-O12)))</f>
        <v/>
      </c>
      <c r="Q12" s="18">
        <f>IF($B12="","",IF((1-Parâmetros!$B$65)*(1-(Parâmetros!$B$61+N12+Parâmetros!$B$78))-O12&lt;=0,"ERRO",(1-Parâmetros!$B$65)*M12/((1-Parâmetros!$B$65)*(1-(Parâmetros!$B$61+N12+Parâmetros!$B$78))-O12)))</f>
        <v/>
      </c>
      <c r="R12" s="11">
        <f>IF($B12="","",IF(Parâmetros!$B$64=2,P12,Q12))</f>
        <v/>
      </c>
      <c r="S12" s="18">
        <f>IF($B12="","",IF(Parâmetros!$B$64=2,IF(1-(Parâmetros!$B$61+N12+Parâmetros!$B$78)-Parâmetros!$B$66&lt;=0,"ERRO",M12/(1-(Parâmetros!$B$61+N12+Parâmetros!$B$78)-Parâmetros!$B$66)),IF((1-Parâmetros!$B$65)*(1-(Parâmetros!$B$61+N12+Parâmetros!$B$78))&lt;=0,"ERRO",(1-Parâmetros!$B$65)*M12/((1-Parâmetros!$B$65)*(1-(Parâmetros!$B$61+N12+Parâmetros!$B$78))))))</f>
        <v/>
      </c>
      <c r="T12" s="18">
        <f>IF($B12="","",IF(ISNUMBER(R12),R12*Parâmetros!$B$61,""))</f>
        <v/>
      </c>
      <c r="U12" s="18">
        <f>IF($B12="","",IF(ISNUMBER(R12),R12*N12,""))</f>
        <v/>
      </c>
      <c r="V12" s="18">
        <f>IF($B12="","",IF(ISNUMBER(R12),R12*Parâmetros!$B$78,""))</f>
        <v/>
      </c>
      <c r="W12" s="18">
        <f>IF($B12="","",IF(ISNUMBER(R12),IF(Parâmetros!$B$64=2,R12*Parâmetros!$B$66,Parâmetros!$B$65*(R12-M12-R12*(Parâmetros!$B$61+N12+Parâmetros!$B$78))),""))</f>
        <v/>
      </c>
      <c r="X12" s="11">
        <f>IF($B12="","",IF(ISNUMBER(R12),R12-M12-T12-U12-V12-W12,""))</f>
        <v/>
      </c>
      <c r="Y12" s="19">
        <f>IF($B12="","",IF(AND(ISNUMBER(R12),R12&gt;0),X12/R12,""))</f>
        <v/>
      </c>
      <c r="Z12" s="18">
        <f>IF($B12="","",IF(AND(ISNUMBER(R12),ISNUMBER(G12)),R12-G12,""))</f>
        <v/>
      </c>
      <c r="AA12" s="20">
        <f>IF($B12="","",IF(NOT(ISNUMBER(R12)),"Percentuais ≥ 100%",IF(N(D12)=0,"Sem tempo",IF(J12=0,"Sem materiais",""))))</f>
        <v/>
      </c>
    </row>
    <row r="13">
      <c r="A13" s="7" t="inlineStr">
        <is>
          <t>3.4</t>
        </is>
      </c>
      <c r="B13" s="7" t="inlineStr">
        <is>
          <t>Restauração estética / faceta</t>
        </is>
      </c>
      <c r="C13" s="7" t="inlineStr">
        <is>
          <t>Clínica Geral</t>
        </is>
      </c>
      <c r="D13" s="7" t="n">
        <v>120</v>
      </c>
      <c r="E13" s="8" t="n">
        <v>0</v>
      </c>
      <c r="F13" s="8" t="n">
        <v>34.49</v>
      </c>
      <c r="G13" s="8" t="n"/>
      <c r="H13" s="13" t="n"/>
      <c r="I13" s="13" t="n"/>
      <c r="J13" s="18">
        <f>IF($B13="","",SUMIFS(Itens!$E$2:$E$158,Itens!$A$2:$A$158,$B13)+N(F13))</f>
        <v/>
      </c>
      <c r="K13" s="18">
        <f>IF($B13="","",N(D13)/60*Parâmetros!$B$57)</f>
        <v/>
      </c>
      <c r="L13" s="18">
        <f>IF($B13="","",N(D13)/60*Parâmetros!$B$60)</f>
        <v/>
      </c>
      <c r="M13" s="11">
        <f>IF($B13="","",J13+N(E13)+K13+L13)</f>
        <v/>
      </c>
      <c r="N13" s="19">
        <f>IF($B13="","",IF(H13="",Parâmetros!$B$62,H13))</f>
        <v/>
      </c>
      <c r="O13" s="19">
        <f>IF($B13="","",IF(I13="",Parâmetros!$B$63,I13))</f>
        <v/>
      </c>
      <c r="P13" s="18">
        <f>IF($B13="","",IF(1-(Parâmetros!$B$61+N13+Parâmetros!$B$78)-Parâmetros!$B$66-O13&lt;=0,"ERRO",M13/(1-(Parâmetros!$B$61+N13+Parâmetros!$B$78)-Parâmetros!$B$66-O13)))</f>
        <v/>
      </c>
      <c r="Q13" s="18">
        <f>IF($B13="","",IF((1-Parâmetros!$B$65)*(1-(Parâmetros!$B$61+N13+Parâmetros!$B$78))-O13&lt;=0,"ERRO",(1-Parâmetros!$B$65)*M13/((1-Parâmetros!$B$65)*(1-(Parâmetros!$B$61+N13+Parâmetros!$B$78))-O13)))</f>
        <v/>
      </c>
      <c r="R13" s="11">
        <f>IF($B13="","",IF(Parâmetros!$B$64=2,P13,Q13))</f>
        <v/>
      </c>
      <c r="S13" s="18">
        <f>IF($B13="","",IF(Parâmetros!$B$64=2,IF(1-(Parâmetros!$B$61+N13+Parâmetros!$B$78)-Parâmetros!$B$66&lt;=0,"ERRO",M13/(1-(Parâmetros!$B$61+N13+Parâmetros!$B$78)-Parâmetros!$B$66)),IF((1-Parâmetros!$B$65)*(1-(Parâmetros!$B$61+N13+Parâmetros!$B$78))&lt;=0,"ERRO",(1-Parâmetros!$B$65)*M13/((1-Parâmetros!$B$65)*(1-(Parâmetros!$B$61+N13+Parâmetros!$B$78))))))</f>
        <v/>
      </c>
      <c r="T13" s="18">
        <f>IF($B13="","",IF(ISNUMBER(R13),R13*Parâmetros!$B$61,""))</f>
        <v/>
      </c>
      <c r="U13" s="18">
        <f>IF($B13="","",IF(ISNUMBER(R13),R13*N13,""))</f>
        <v/>
      </c>
      <c r="V13" s="18">
        <f>IF($B13="","",IF(ISNUMBER(R13),R13*Parâmetros!$B$78,""))</f>
        <v/>
      </c>
      <c r="W13" s="18">
        <f>IF($B13="","",IF(ISNUMBER(R13),IF(Parâmetros!$B$64=2,R13*Parâmetros!$B$66,Parâmetros!$B$65*(R13-M13-R13*(Parâmetros!$B$61+N13+Parâmetros!$B$78))),""))</f>
        <v/>
      </c>
      <c r="X13" s="11">
        <f>IF($B13="","",IF(ISNUMBER(R13),R13-M13-T13-U13-V13-W13,""))</f>
        <v/>
      </c>
      <c r="Y13" s="19">
        <f>IF($B13="","",IF(AND(ISNUMBER(R13),R13&gt;0),X13/R13,""))</f>
        <v/>
      </c>
      <c r="Z13" s="18">
        <f>IF($B13="","",IF(AND(ISNUMBER(R13),ISNUMBER(G13)),R13-G13,""))</f>
        <v/>
      </c>
      <c r="AA13" s="20">
        <f>IF($B13="","",IF(NOT(ISNUMBER(R13)),"Percentuais ≥ 100%",IF(N(D13)=0,"Sem tempo",IF(J13=0,"Sem materiais",""))))</f>
        <v/>
      </c>
    </row>
    <row r="14">
      <c r="A14" s="7" t="inlineStr">
        <is>
          <t>3.5</t>
        </is>
      </c>
      <c r="B14" s="7" t="inlineStr">
        <is>
          <t>Biobase</t>
        </is>
      </c>
      <c r="C14" s="7" t="inlineStr">
        <is>
          <t>Clínica Geral</t>
        </is>
      </c>
      <c r="D14" s="7" t="n">
        <v>120</v>
      </c>
      <c r="E14" s="8" t="n">
        <v>0</v>
      </c>
      <c r="F14" s="8" t="n">
        <v>45.25</v>
      </c>
      <c r="G14" s="8" t="n"/>
      <c r="H14" s="13" t="n"/>
      <c r="I14" s="13" t="n"/>
      <c r="J14" s="18">
        <f>IF($B14="","",SUMIFS(Itens!$E$2:$E$158,Itens!$A$2:$A$158,$B14)+N(F14))</f>
        <v/>
      </c>
      <c r="K14" s="18">
        <f>IF($B14="","",N(D14)/60*Parâmetros!$B$57)</f>
        <v/>
      </c>
      <c r="L14" s="18">
        <f>IF($B14="","",N(D14)/60*Parâmetros!$B$60)</f>
        <v/>
      </c>
      <c r="M14" s="11">
        <f>IF($B14="","",J14+N(E14)+K14+L14)</f>
        <v/>
      </c>
      <c r="N14" s="19">
        <f>IF($B14="","",IF(H14="",Parâmetros!$B$62,H14))</f>
        <v/>
      </c>
      <c r="O14" s="19">
        <f>IF($B14="","",IF(I14="",Parâmetros!$B$63,I14))</f>
        <v/>
      </c>
      <c r="P14" s="18">
        <f>IF($B14="","",IF(1-(Parâmetros!$B$61+N14+Parâmetros!$B$78)-Parâmetros!$B$66-O14&lt;=0,"ERRO",M14/(1-(Parâmetros!$B$61+N14+Parâmetros!$B$78)-Parâmetros!$B$66-O14)))</f>
        <v/>
      </c>
      <c r="Q14" s="18">
        <f>IF($B14="","",IF((1-Parâmetros!$B$65)*(1-(Parâmetros!$B$61+N14+Parâmetros!$B$78))-O14&lt;=0,"ERRO",(1-Parâmetros!$B$65)*M14/((1-Parâmetros!$B$65)*(1-(Parâmetros!$B$61+N14+Parâmetros!$B$78))-O14)))</f>
        <v/>
      </c>
      <c r="R14" s="11">
        <f>IF($B14="","",IF(Parâmetros!$B$64=2,P14,Q14))</f>
        <v/>
      </c>
      <c r="S14" s="18">
        <f>IF($B14="","",IF(Parâmetros!$B$64=2,IF(1-(Parâmetros!$B$61+N14+Parâmetros!$B$78)-Parâmetros!$B$66&lt;=0,"ERRO",M14/(1-(Parâmetros!$B$61+N14+Parâmetros!$B$78)-Parâmetros!$B$66)),IF((1-Parâmetros!$B$65)*(1-(Parâmetros!$B$61+N14+Parâmetros!$B$78))&lt;=0,"ERRO",(1-Parâmetros!$B$65)*M14/((1-Parâmetros!$B$65)*(1-(Parâmetros!$B$61+N14+Parâmetros!$B$78))))))</f>
        <v/>
      </c>
      <c r="T14" s="18">
        <f>IF($B14="","",IF(ISNUMBER(R14),R14*Parâmetros!$B$61,""))</f>
        <v/>
      </c>
      <c r="U14" s="18">
        <f>IF($B14="","",IF(ISNUMBER(R14),R14*N14,""))</f>
        <v/>
      </c>
      <c r="V14" s="18">
        <f>IF($B14="","",IF(ISNUMBER(R14),R14*Parâmetros!$B$78,""))</f>
        <v/>
      </c>
      <c r="W14" s="18">
        <f>IF($B14="","",IF(ISNUMBER(R14),IF(Parâmetros!$B$64=2,R14*Parâmetros!$B$66,Parâmetros!$B$65*(R14-M14-R14*(Parâmetros!$B$61+N14+Parâmetros!$B$78))),""))</f>
        <v/>
      </c>
      <c r="X14" s="11">
        <f>IF($B14="","",IF(ISNUMBER(R14),R14-M14-T14-U14-V14-W14,""))</f>
        <v/>
      </c>
      <c r="Y14" s="19">
        <f>IF($B14="","",IF(AND(ISNUMBER(R14),R14&gt;0),X14/R14,""))</f>
        <v/>
      </c>
      <c r="Z14" s="18">
        <f>IF($B14="","",IF(AND(ISNUMBER(R14),ISNUMBER(G14)),R14-G14,""))</f>
        <v/>
      </c>
      <c r="AA14" s="20">
        <f>IF($B14="","",IF(NOT(ISNUMBER(R14)),"Percentuais ≥ 100%",IF(N(D14)=0,"Sem tempo",IF(J14=0,"Sem materiais",""))))</f>
        <v/>
      </c>
    </row>
    <row r="15">
      <c r="A15" s="7" t="inlineStr">
        <is>
          <t>3.6</t>
        </is>
      </c>
      <c r="B15" s="7" t="inlineStr">
        <is>
          <t>Peça em resina técnica direta indireta</t>
        </is>
      </c>
      <c r="C15" s="7" t="inlineStr">
        <is>
          <t>Clínica Geral</t>
        </is>
      </c>
      <c r="D15" s="7" t="n">
        <v>120</v>
      </c>
      <c r="E15" s="8" t="n">
        <v>0</v>
      </c>
      <c r="F15" s="8" t="n">
        <v>41.38</v>
      </c>
      <c r="G15" s="8" t="n"/>
      <c r="H15" s="13" t="n"/>
      <c r="I15" s="13" t="n"/>
      <c r="J15" s="18">
        <f>IF($B15="","",SUMIFS(Itens!$E$2:$E$158,Itens!$A$2:$A$158,$B15)+N(F15))</f>
        <v/>
      </c>
      <c r="K15" s="18">
        <f>IF($B15="","",N(D15)/60*Parâmetros!$B$57)</f>
        <v/>
      </c>
      <c r="L15" s="18">
        <f>IF($B15="","",N(D15)/60*Parâmetros!$B$60)</f>
        <v/>
      </c>
      <c r="M15" s="11">
        <f>IF($B15="","",J15+N(E15)+K15+L15)</f>
        <v/>
      </c>
      <c r="N15" s="19">
        <f>IF($B15="","",IF(H15="",Parâmetros!$B$62,H15))</f>
        <v/>
      </c>
      <c r="O15" s="19">
        <f>IF($B15="","",IF(I15="",Parâmetros!$B$63,I15))</f>
        <v/>
      </c>
      <c r="P15" s="18">
        <f>IF($B15="","",IF(1-(Parâmetros!$B$61+N15+Parâmetros!$B$78)-Parâmetros!$B$66-O15&lt;=0,"ERRO",M15/(1-(Parâmetros!$B$61+N15+Parâmetros!$B$78)-Parâmetros!$B$66-O15)))</f>
        <v/>
      </c>
      <c r="Q15" s="18">
        <f>IF($B15="","",IF((1-Parâmetros!$B$65)*(1-(Parâmetros!$B$61+N15+Parâmetros!$B$78))-O15&lt;=0,"ERRO",(1-Parâmetros!$B$65)*M15/((1-Parâmetros!$B$65)*(1-(Parâmetros!$B$61+N15+Parâmetros!$B$78))-O15)))</f>
        <v/>
      </c>
      <c r="R15" s="11">
        <f>IF($B15="","",IF(Parâmetros!$B$64=2,P15,Q15))</f>
        <v/>
      </c>
      <c r="S15" s="18">
        <f>IF($B15="","",IF(Parâmetros!$B$64=2,IF(1-(Parâmetros!$B$61+N15+Parâmetros!$B$78)-Parâmetros!$B$66&lt;=0,"ERRO",M15/(1-(Parâmetros!$B$61+N15+Parâmetros!$B$78)-Parâmetros!$B$66)),IF((1-Parâmetros!$B$65)*(1-(Parâmetros!$B$61+N15+Parâmetros!$B$78))&lt;=0,"ERRO",(1-Parâmetros!$B$65)*M15/((1-Parâmetros!$B$65)*(1-(Parâmetros!$B$61+N15+Parâmetros!$B$78))))))</f>
        <v/>
      </c>
      <c r="T15" s="18">
        <f>IF($B15="","",IF(ISNUMBER(R15),R15*Parâmetros!$B$61,""))</f>
        <v/>
      </c>
      <c r="U15" s="18">
        <f>IF($B15="","",IF(ISNUMBER(R15),R15*N15,""))</f>
        <v/>
      </c>
      <c r="V15" s="18">
        <f>IF($B15="","",IF(ISNUMBER(R15),R15*Parâmetros!$B$78,""))</f>
        <v/>
      </c>
      <c r="W15" s="18">
        <f>IF($B15="","",IF(ISNUMBER(R15),IF(Parâmetros!$B$64=2,R15*Parâmetros!$B$66,Parâmetros!$B$65*(R15-M15-R15*(Parâmetros!$B$61+N15+Parâmetros!$B$78))),""))</f>
        <v/>
      </c>
      <c r="X15" s="11">
        <f>IF($B15="","",IF(ISNUMBER(R15),R15-M15-T15-U15-V15-W15,""))</f>
        <v/>
      </c>
      <c r="Y15" s="19">
        <f>IF($B15="","",IF(AND(ISNUMBER(R15),R15&gt;0),X15/R15,""))</f>
        <v/>
      </c>
      <c r="Z15" s="18">
        <f>IF($B15="","",IF(AND(ISNUMBER(R15),ISNUMBER(G15)),R15-G15,""))</f>
        <v/>
      </c>
      <c r="AA15" s="20">
        <f>IF($B15="","",IF(NOT(ISNUMBER(R15)),"Percentuais ≥ 100%",IF(N(D15)=0,"Sem tempo",IF(J15=0,"Sem materiais",""))))</f>
        <v/>
      </c>
    </row>
    <row r="16">
      <c r="A16" s="7" t="inlineStr">
        <is>
          <t>4.0</t>
        </is>
      </c>
      <c r="B16" s="7" t="inlineStr">
        <is>
          <t>Tratamento endodôntico unirradicular</t>
        </is>
      </c>
      <c r="C16" s="7" t="inlineStr">
        <is>
          <t>Clínica Geral</t>
        </is>
      </c>
      <c r="D16" s="7" t="n">
        <v>90</v>
      </c>
      <c r="E16" s="8" t="n">
        <v>0</v>
      </c>
      <c r="F16" s="8" t="n">
        <v>120</v>
      </c>
      <c r="G16" s="8" t="n"/>
      <c r="H16" s="13" t="n"/>
      <c r="I16" s="13" t="n"/>
      <c r="J16" s="18">
        <f>IF($B16="","",SUMIFS(Itens!$E$2:$E$158,Itens!$A$2:$A$158,$B16)+N(F16))</f>
        <v/>
      </c>
      <c r="K16" s="18">
        <f>IF($B16="","",N(D16)/60*Parâmetros!$B$57)</f>
        <v/>
      </c>
      <c r="L16" s="18">
        <f>IF($B16="","",N(D16)/60*Parâmetros!$B$60)</f>
        <v/>
      </c>
      <c r="M16" s="11">
        <f>IF($B16="","",J16+N(E16)+K16+L16)</f>
        <v/>
      </c>
      <c r="N16" s="19">
        <f>IF($B16="","",IF(H16="",Parâmetros!$B$62,H16))</f>
        <v/>
      </c>
      <c r="O16" s="19">
        <f>IF($B16="","",IF(I16="",Parâmetros!$B$63,I16))</f>
        <v/>
      </c>
      <c r="P16" s="18">
        <f>IF($B16="","",IF(1-(Parâmetros!$B$61+N16+Parâmetros!$B$78)-Parâmetros!$B$66-O16&lt;=0,"ERRO",M16/(1-(Parâmetros!$B$61+N16+Parâmetros!$B$78)-Parâmetros!$B$66-O16)))</f>
        <v/>
      </c>
      <c r="Q16" s="18">
        <f>IF($B16="","",IF((1-Parâmetros!$B$65)*(1-(Parâmetros!$B$61+N16+Parâmetros!$B$78))-O16&lt;=0,"ERRO",(1-Parâmetros!$B$65)*M16/((1-Parâmetros!$B$65)*(1-(Parâmetros!$B$61+N16+Parâmetros!$B$78))-O16)))</f>
        <v/>
      </c>
      <c r="R16" s="11">
        <f>IF($B16="","",IF(Parâmetros!$B$64=2,P16,Q16))</f>
        <v/>
      </c>
      <c r="S16" s="18">
        <f>IF($B16="","",IF(Parâmetros!$B$64=2,IF(1-(Parâmetros!$B$61+N16+Parâmetros!$B$78)-Parâmetros!$B$66&lt;=0,"ERRO",M16/(1-(Parâmetros!$B$61+N16+Parâmetros!$B$78)-Parâmetros!$B$66)),IF((1-Parâmetros!$B$65)*(1-(Parâmetros!$B$61+N16+Parâmetros!$B$78))&lt;=0,"ERRO",(1-Parâmetros!$B$65)*M16/((1-Parâmetros!$B$65)*(1-(Parâmetros!$B$61+N16+Parâmetros!$B$78))))))</f>
        <v/>
      </c>
      <c r="T16" s="18">
        <f>IF($B16="","",IF(ISNUMBER(R16),R16*Parâmetros!$B$61,""))</f>
        <v/>
      </c>
      <c r="U16" s="18">
        <f>IF($B16="","",IF(ISNUMBER(R16),R16*N16,""))</f>
        <v/>
      </c>
      <c r="V16" s="18">
        <f>IF($B16="","",IF(ISNUMBER(R16),R16*Parâmetros!$B$78,""))</f>
        <v/>
      </c>
      <c r="W16" s="18">
        <f>IF($B16="","",IF(ISNUMBER(R16),IF(Parâmetros!$B$64=2,R16*Parâmetros!$B$66,Parâmetros!$B$65*(R16-M16-R16*(Parâmetros!$B$61+N16+Parâmetros!$B$78))),""))</f>
        <v/>
      </c>
      <c r="X16" s="11">
        <f>IF($B16="","",IF(ISNUMBER(R16),R16-M16-T16-U16-V16-W16,""))</f>
        <v/>
      </c>
      <c r="Y16" s="19">
        <f>IF($B16="","",IF(AND(ISNUMBER(R16),R16&gt;0),X16/R16,""))</f>
        <v/>
      </c>
      <c r="Z16" s="18">
        <f>IF($B16="","",IF(AND(ISNUMBER(R16),ISNUMBER(G16)),R16-G16,""))</f>
        <v/>
      </c>
      <c r="AA16" s="20">
        <f>IF($B16="","",IF(NOT(ISNUMBER(R16)),"Percentuais ≥ 100%",IF(N(D16)=0,"Sem tempo",IF(J16=0,"Sem materiais",""))))</f>
        <v/>
      </c>
    </row>
    <row r="17">
      <c r="A17" s="7" t="inlineStr">
        <is>
          <t>4.1</t>
        </is>
      </c>
      <c r="B17" s="7" t="inlineStr">
        <is>
          <t>Tratamento endodôntico birradicular</t>
        </is>
      </c>
      <c r="C17" s="7" t="inlineStr">
        <is>
          <t>Clínica Geral</t>
        </is>
      </c>
      <c r="D17" s="7" t="n">
        <v>90</v>
      </c>
      <c r="E17" s="8" t="n">
        <v>0</v>
      </c>
      <c r="F17" s="8" t="n">
        <v>130</v>
      </c>
      <c r="G17" s="8" t="n"/>
      <c r="H17" s="13" t="n"/>
      <c r="I17" s="13" t="n"/>
      <c r="J17" s="18">
        <f>IF($B17="","",SUMIFS(Itens!$E$2:$E$158,Itens!$A$2:$A$158,$B17)+N(F17))</f>
        <v/>
      </c>
      <c r="K17" s="18">
        <f>IF($B17="","",N(D17)/60*Parâmetros!$B$57)</f>
        <v/>
      </c>
      <c r="L17" s="18">
        <f>IF($B17="","",N(D17)/60*Parâmetros!$B$60)</f>
        <v/>
      </c>
      <c r="M17" s="11">
        <f>IF($B17="","",J17+N(E17)+K17+L17)</f>
        <v/>
      </c>
      <c r="N17" s="19">
        <f>IF($B17="","",IF(H17="",Parâmetros!$B$62,H17))</f>
        <v/>
      </c>
      <c r="O17" s="19">
        <f>IF($B17="","",IF(I17="",Parâmetros!$B$63,I17))</f>
        <v/>
      </c>
      <c r="P17" s="18">
        <f>IF($B17="","",IF(1-(Parâmetros!$B$61+N17+Parâmetros!$B$78)-Parâmetros!$B$66-O17&lt;=0,"ERRO",M17/(1-(Parâmetros!$B$61+N17+Parâmetros!$B$78)-Parâmetros!$B$66-O17)))</f>
        <v/>
      </c>
      <c r="Q17" s="18">
        <f>IF($B17="","",IF((1-Parâmetros!$B$65)*(1-(Parâmetros!$B$61+N17+Parâmetros!$B$78))-O17&lt;=0,"ERRO",(1-Parâmetros!$B$65)*M17/((1-Parâmetros!$B$65)*(1-(Parâmetros!$B$61+N17+Parâmetros!$B$78))-O17)))</f>
        <v/>
      </c>
      <c r="R17" s="11">
        <f>IF($B17="","",IF(Parâmetros!$B$64=2,P17,Q17))</f>
        <v/>
      </c>
      <c r="S17" s="18">
        <f>IF($B17="","",IF(Parâmetros!$B$64=2,IF(1-(Parâmetros!$B$61+N17+Parâmetros!$B$78)-Parâmetros!$B$66&lt;=0,"ERRO",M17/(1-(Parâmetros!$B$61+N17+Parâmetros!$B$78)-Parâmetros!$B$66)),IF((1-Parâmetros!$B$65)*(1-(Parâmetros!$B$61+N17+Parâmetros!$B$78))&lt;=0,"ERRO",(1-Parâmetros!$B$65)*M17/((1-Parâmetros!$B$65)*(1-(Parâmetros!$B$61+N17+Parâmetros!$B$78))))))</f>
        <v/>
      </c>
      <c r="T17" s="18">
        <f>IF($B17="","",IF(ISNUMBER(R17),R17*Parâmetros!$B$61,""))</f>
        <v/>
      </c>
      <c r="U17" s="18">
        <f>IF($B17="","",IF(ISNUMBER(R17),R17*N17,""))</f>
        <v/>
      </c>
      <c r="V17" s="18">
        <f>IF($B17="","",IF(ISNUMBER(R17),R17*Parâmetros!$B$78,""))</f>
        <v/>
      </c>
      <c r="W17" s="18">
        <f>IF($B17="","",IF(ISNUMBER(R17),IF(Parâmetros!$B$64=2,R17*Parâmetros!$B$66,Parâmetros!$B$65*(R17-M17-R17*(Parâmetros!$B$61+N17+Parâmetros!$B$78))),""))</f>
        <v/>
      </c>
      <c r="X17" s="11">
        <f>IF($B17="","",IF(ISNUMBER(R17),R17-M17-T17-U17-V17-W17,""))</f>
        <v/>
      </c>
      <c r="Y17" s="19">
        <f>IF($B17="","",IF(AND(ISNUMBER(R17),R17&gt;0),X17/R17,""))</f>
        <v/>
      </c>
      <c r="Z17" s="18">
        <f>IF($B17="","",IF(AND(ISNUMBER(R17),ISNUMBER(G17)),R17-G17,""))</f>
        <v/>
      </c>
      <c r="AA17" s="20">
        <f>IF($B17="","",IF(NOT(ISNUMBER(R17)),"Percentuais ≥ 100%",IF(N(D17)=0,"Sem tempo",IF(J17=0,"Sem materiais",""))))</f>
        <v/>
      </c>
    </row>
    <row r="18">
      <c r="A18" s="7" t="inlineStr">
        <is>
          <t>4.2</t>
        </is>
      </c>
      <c r="B18" s="7" t="inlineStr">
        <is>
          <t>Tratamento endodôntico molar</t>
        </is>
      </c>
      <c r="C18" s="7" t="inlineStr">
        <is>
          <t>Clínica Geral</t>
        </is>
      </c>
      <c r="D18" s="7" t="n">
        <v>120</v>
      </c>
      <c r="E18" s="8" t="n">
        <v>0</v>
      </c>
      <c r="F18" s="8" t="n">
        <v>150</v>
      </c>
      <c r="G18" s="8" t="n"/>
      <c r="H18" s="13" t="n"/>
      <c r="I18" s="13" t="n"/>
      <c r="J18" s="18">
        <f>IF($B18="","",SUMIFS(Itens!$E$2:$E$158,Itens!$A$2:$A$158,$B18)+N(F18))</f>
        <v/>
      </c>
      <c r="K18" s="18">
        <f>IF($B18="","",N(D18)/60*Parâmetros!$B$57)</f>
        <v/>
      </c>
      <c r="L18" s="18">
        <f>IF($B18="","",N(D18)/60*Parâmetros!$B$60)</f>
        <v/>
      </c>
      <c r="M18" s="11">
        <f>IF($B18="","",J18+N(E18)+K18+L18)</f>
        <v/>
      </c>
      <c r="N18" s="19">
        <f>IF($B18="","",IF(H18="",Parâmetros!$B$62,H18))</f>
        <v/>
      </c>
      <c r="O18" s="19">
        <f>IF($B18="","",IF(I18="",Parâmetros!$B$63,I18))</f>
        <v/>
      </c>
      <c r="P18" s="18">
        <f>IF($B18="","",IF(1-(Parâmetros!$B$61+N18+Parâmetros!$B$78)-Parâmetros!$B$66-O18&lt;=0,"ERRO",M18/(1-(Parâmetros!$B$61+N18+Parâmetros!$B$78)-Parâmetros!$B$66-O18)))</f>
        <v/>
      </c>
      <c r="Q18" s="18">
        <f>IF($B18="","",IF((1-Parâmetros!$B$65)*(1-(Parâmetros!$B$61+N18+Parâmetros!$B$78))-O18&lt;=0,"ERRO",(1-Parâmetros!$B$65)*M18/((1-Parâmetros!$B$65)*(1-(Parâmetros!$B$61+N18+Parâmetros!$B$78))-O18)))</f>
        <v/>
      </c>
      <c r="R18" s="11">
        <f>IF($B18="","",IF(Parâmetros!$B$64=2,P18,Q18))</f>
        <v/>
      </c>
      <c r="S18" s="18">
        <f>IF($B18="","",IF(Parâmetros!$B$64=2,IF(1-(Parâmetros!$B$61+N18+Parâmetros!$B$78)-Parâmetros!$B$66&lt;=0,"ERRO",M18/(1-(Parâmetros!$B$61+N18+Parâmetros!$B$78)-Parâmetros!$B$66)),IF((1-Parâmetros!$B$65)*(1-(Parâmetros!$B$61+N18+Parâmetros!$B$78))&lt;=0,"ERRO",(1-Parâmetros!$B$65)*M18/((1-Parâmetros!$B$65)*(1-(Parâmetros!$B$61+N18+Parâmetros!$B$78))))))</f>
        <v/>
      </c>
      <c r="T18" s="18">
        <f>IF($B18="","",IF(ISNUMBER(R18),R18*Parâmetros!$B$61,""))</f>
        <v/>
      </c>
      <c r="U18" s="18">
        <f>IF($B18="","",IF(ISNUMBER(R18),R18*N18,""))</f>
        <v/>
      </c>
      <c r="V18" s="18">
        <f>IF($B18="","",IF(ISNUMBER(R18),R18*Parâmetros!$B$78,""))</f>
        <v/>
      </c>
      <c r="W18" s="18">
        <f>IF($B18="","",IF(ISNUMBER(R18),IF(Parâmetros!$B$64=2,R18*Parâmetros!$B$66,Parâmetros!$B$65*(R18-M18-R18*(Parâmetros!$B$61+N18+Parâmetros!$B$78))),""))</f>
        <v/>
      </c>
      <c r="X18" s="11">
        <f>IF($B18="","",IF(ISNUMBER(R18),R18-M18-T18-U18-V18-W18,""))</f>
        <v/>
      </c>
      <c r="Y18" s="19">
        <f>IF($B18="","",IF(AND(ISNUMBER(R18),R18&gt;0),X18/R18,""))</f>
        <v/>
      </c>
      <c r="Z18" s="18">
        <f>IF($B18="","",IF(AND(ISNUMBER(R18),ISNUMBER(G18)),R18-G18,""))</f>
        <v/>
      </c>
      <c r="AA18" s="20">
        <f>IF($B18="","",IF(NOT(ISNUMBER(R18)),"Percentuais ≥ 100%",IF(N(D18)=0,"Sem tempo",IF(J18=0,"Sem materiais",""))))</f>
        <v/>
      </c>
    </row>
    <row r="19">
      <c r="A19" s="7" t="inlineStr">
        <is>
          <t>4.3</t>
        </is>
      </c>
      <c r="B19" s="7" t="inlineStr">
        <is>
          <t>Retratamento endodôntico unirradicular</t>
        </is>
      </c>
      <c r="C19" s="7" t="inlineStr">
        <is>
          <t>Clínica Geral</t>
        </is>
      </c>
      <c r="D19" s="7" t="n">
        <v>90</v>
      </c>
      <c r="E19" s="8" t="n">
        <v>0</v>
      </c>
      <c r="F19" s="8" t="n">
        <v>130</v>
      </c>
      <c r="G19" s="8" t="n"/>
      <c r="H19" s="13" t="n"/>
      <c r="I19" s="13" t="n"/>
      <c r="J19" s="18">
        <f>IF($B19="","",SUMIFS(Itens!$E$2:$E$158,Itens!$A$2:$A$158,$B19)+N(F19))</f>
        <v/>
      </c>
      <c r="K19" s="18">
        <f>IF($B19="","",N(D19)/60*Parâmetros!$B$57)</f>
        <v/>
      </c>
      <c r="L19" s="18">
        <f>IF($B19="","",N(D19)/60*Parâmetros!$B$60)</f>
        <v/>
      </c>
      <c r="M19" s="11">
        <f>IF($B19="","",J19+N(E19)+K19+L19)</f>
        <v/>
      </c>
      <c r="N19" s="19">
        <f>IF($B19="","",IF(H19="",Parâmetros!$B$62,H19))</f>
        <v/>
      </c>
      <c r="O19" s="19">
        <f>IF($B19="","",IF(I19="",Parâmetros!$B$63,I19))</f>
        <v/>
      </c>
      <c r="P19" s="18">
        <f>IF($B19="","",IF(1-(Parâmetros!$B$61+N19+Parâmetros!$B$78)-Parâmetros!$B$66-O19&lt;=0,"ERRO",M19/(1-(Parâmetros!$B$61+N19+Parâmetros!$B$78)-Parâmetros!$B$66-O19)))</f>
        <v/>
      </c>
      <c r="Q19" s="18">
        <f>IF($B19="","",IF((1-Parâmetros!$B$65)*(1-(Parâmetros!$B$61+N19+Parâmetros!$B$78))-O19&lt;=0,"ERRO",(1-Parâmetros!$B$65)*M19/((1-Parâmetros!$B$65)*(1-(Parâmetros!$B$61+N19+Parâmetros!$B$78))-O19)))</f>
        <v/>
      </c>
      <c r="R19" s="11">
        <f>IF($B19="","",IF(Parâmetros!$B$64=2,P19,Q19))</f>
        <v/>
      </c>
      <c r="S19" s="18">
        <f>IF($B19="","",IF(Parâmetros!$B$64=2,IF(1-(Parâmetros!$B$61+N19+Parâmetros!$B$78)-Parâmetros!$B$66&lt;=0,"ERRO",M19/(1-(Parâmetros!$B$61+N19+Parâmetros!$B$78)-Parâmetros!$B$66)),IF((1-Parâmetros!$B$65)*(1-(Parâmetros!$B$61+N19+Parâmetros!$B$78))&lt;=0,"ERRO",(1-Parâmetros!$B$65)*M19/((1-Parâmetros!$B$65)*(1-(Parâmetros!$B$61+N19+Parâmetros!$B$78))))))</f>
        <v/>
      </c>
      <c r="T19" s="18">
        <f>IF($B19="","",IF(ISNUMBER(R19),R19*Parâmetros!$B$61,""))</f>
        <v/>
      </c>
      <c r="U19" s="18">
        <f>IF($B19="","",IF(ISNUMBER(R19),R19*N19,""))</f>
        <v/>
      </c>
      <c r="V19" s="18">
        <f>IF($B19="","",IF(ISNUMBER(R19),R19*Parâmetros!$B$78,""))</f>
        <v/>
      </c>
      <c r="W19" s="18">
        <f>IF($B19="","",IF(ISNUMBER(R19),IF(Parâmetros!$B$64=2,R19*Parâmetros!$B$66,Parâmetros!$B$65*(R19-M19-R19*(Parâmetros!$B$61+N19+Parâmetros!$B$78))),""))</f>
        <v/>
      </c>
      <c r="X19" s="11">
        <f>IF($B19="","",IF(ISNUMBER(R19),R19-M19-T19-U19-V19-W19,""))</f>
        <v/>
      </c>
      <c r="Y19" s="19">
        <f>IF($B19="","",IF(AND(ISNUMBER(R19),R19&gt;0),X19/R19,""))</f>
        <v/>
      </c>
      <c r="Z19" s="18">
        <f>IF($B19="","",IF(AND(ISNUMBER(R19),ISNUMBER(G19)),R19-G19,""))</f>
        <v/>
      </c>
      <c r="AA19" s="20">
        <f>IF($B19="","",IF(NOT(ISNUMBER(R19)),"Percentuais ≥ 100%",IF(N(D19)=0,"Sem tempo",IF(J19=0,"Sem materiais",""))))</f>
        <v/>
      </c>
    </row>
    <row r="20">
      <c r="A20" s="7" t="inlineStr">
        <is>
          <t>4.4</t>
        </is>
      </c>
      <c r="B20" s="7" t="inlineStr">
        <is>
          <t>Retratamento endodôntico birradicular</t>
        </is>
      </c>
      <c r="C20" s="7" t="inlineStr">
        <is>
          <t>Clínica Geral</t>
        </is>
      </c>
      <c r="D20" s="7" t="n">
        <v>90</v>
      </c>
      <c r="E20" s="8" t="n">
        <v>0</v>
      </c>
      <c r="F20" s="8" t="n">
        <v>140</v>
      </c>
      <c r="G20" s="8" t="n"/>
      <c r="H20" s="13" t="n"/>
      <c r="I20" s="13" t="n"/>
      <c r="J20" s="18">
        <f>IF($B20="","",SUMIFS(Itens!$E$2:$E$158,Itens!$A$2:$A$158,$B20)+N(F20))</f>
        <v/>
      </c>
      <c r="K20" s="18">
        <f>IF($B20="","",N(D20)/60*Parâmetros!$B$57)</f>
        <v/>
      </c>
      <c r="L20" s="18">
        <f>IF($B20="","",N(D20)/60*Parâmetros!$B$60)</f>
        <v/>
      </c>
      <c r="M20" s="11">
        <f>IF($B20="","",J20+N(E20)+K20+L20)</f>
        <v/>
      </c>
      <c r="N20" s="19">
        <f>IF($B20="","",IF(H20="",Parâmetros!$B$62,H20))</f>
        <v/>
      </c>
      <c r="O20" s="19">
        <f>IF($B20="","",IF(I20="",Parâmetros!$B$63,I20))</f>
        <v/>
      </c>
      <c r="P20" s="18">
        <f>IF($B20="","",IF(1-(Parâmetros!$B$61+N20+Parâmetros!$B$78)-Parâmetros!$B$66-O20&lt;=0,"ERRO",M20/(1-(Parâmetros!$B$61+N20+Parâmetros!$B$78)-Parâmetros!$B$66-O20)))</f>
        <v/>
      </c>
      <c r="Q20" s="18">
        <f>IF($B20="","",IF((1-Parâmetros!$B$65)*(1-(Parâmetros!$B$61+N20+Parâmetros!$B$78))-O20&lt;=0,"ERRO",(1-Parâmetros!$B$65)*M20/((1-Parâmetros!$B$65)*(1-(Parâmetros!$B$61+N20+Parâmetros!$B$78))-O20)))</f>
        <v/>
      </c>
      <c r="R20" s="11">
        <f>IF($B20="","",IF(Parâmetros!$B$64=2,P20,Q20))</f>
        <v/>
      </c>
      <c r="S20" s="18">
        <f>IF($B20="","",IF(Parâmetros!$B$64=2,IF(1-(Parâmetros!$B$61+N20+Parâmetros!$B$78)-Parâmetros!$B$66&lt;=0,"ERRO",M20/(1-(Parâmetros!$B$61+N20+Parâmetros!$B$78)-Parâmetros!$B$66)),IF((1-Parâmetros!$B$65)*(1-(Parâmetros!$B$61+N20+Parâmetros!$B$78))&lt;=0,"ERRO",(1-Parâmetros!$B$65)*M20/((1-Parâmetros!$B$65)*(1-(Parâmetros!$B$61+N20+Parâmetros!$B$78))))))</f>
        <v/>
      </c>
      <c r="T20" s="18">
        <f>IF($B20="","",IF(ISNUMBER(R20),R20*Parâmetros!$B$61,""))</f>
        <v/>
      </c>
      <c r="U20" s="18">
        <f>IF($B20="","",IF(ISNUMBER(R20),R20*N20,""))</f>
        <v/>
      </c>
      <c r="V20" s="18">
        <f>IF($B20="","",IF(ISNUMBER(R20),R20*Parâmetros!$B$78,""))</f>
        <v/>
      </c>
      <c r="W20" s="18">
        <f>IF($B20="","",IF(ISNUMBER(R20),IF(Parâmetros!$B$64=2,R20*Parâmetros!$B$66,Parâmetros!$B$65*(R20-M20-R20*(Parâmetros!$B$61+N20+Parâmetros!$B$78))),""))</f>
        <v/>
      </c>
      <c r="X20" s="11">
        <f>IF($B20="","",IF(ISNUMBER(R20),R20-M20-T20-U20-V20-W20,""))</f>
        <v/>
      </c>
      <c r="Y20" s="19">
        <f>IF($B20="","",IF(AND(ISNUMBER(R20),R20&gt;0),X20/R20,""))</f>
        <v/>
      </c>
      <c r="Z20" s="18">
        <f>IF($B20="","",IF(AND(ISNUMBER(R20),ISNUMBER(G20)),R20-G20,""))</f>
        <v/>
      </c>
      <c r="AA20" s="20">
        <f>IF($B20="","",IF(NOT(ISNUMBER(R20)),"Percentuais ≥ 100%",IF(N(D20)=0,"Sem tempo",IF(J20=0,"Sem materiais",""))))</f>
        <v/>
      </c>
    </row>
    <row r="21">
      <c r="A21" s="7" t="inlineStr">
        <is>
          <t>4.5</t>
        </is>
      </c>
      <c r="B21" s="7" t="inlineStr">
        <is>
          <t>Retratamento endodôntico molar</t>
        </is>
      </c>
      <c r="C21" s="7" t="inlineStr">
        <is>
          <t>Clínica Geral</t>
        </is>
      </c>
      <c r="D21" s="7" t="n">
        <v>180</v>
      </c>
      <c r="E21" s="8" t="n">
        <v>0</v>
      </c>
      <c r="F21" s="8" t="n">
        <v>160</v>
      </c>
      <c r="G21" s="8" t="n"/>
      <c r="H21" s="13" t="n"/>
      <c r="I21" s="13" t="n"/>
      <c r="J21" s="18">
        <f>IF($B21="","",SUMIFS(Itens!$E$2:$E$158,Itens!$A$2:$A$158,$B21)+N(F21))</f>
        <v/>
      </c>
      <c r="K21" s="18">
        <f>IF($B21="","",N(D21)/60*Parâmetros!$B$57)</f>
        <v/>
      </c>
      <c r="L21" s="18">
        <f>IF($B21="","",N(D21)/60*Parâmetros!$B$60)</f>
        <v/>
      </c>
      <c r="M21" s="11">
        <f>IF($B21="","",J21+N(E21)+K21+L21)</f>
        <v/>
      </c>
      <c r="N21" s="19">
        <f>IF($B21="","",IF(H21="",Parâmetros!$B$62,H21))</f>
        <v/>
      </c>
      <c r="O21" s="19">
        <f>IF($B21="","",IF(I21="",Parâmetros!$B$63,I21))</f>
        <v/>
      </c>
      <c r="P21" s="18">
        <f>IF($B21="","",IF(1-(Parâmetros!$B$61+N21+Parâmetros!$B$78)-Parâmetros!$B$66-O21&lt;=0,"ERRO",M21/(1-(Parâmetros!$B$61+N21+Parâmetros!$B$78)-Parâmetros!$B$66-O21)))</f>
        <v/>
      </c>
      <c r="Q21" s="18">
        <f>IF($B21="","",IF((1-Parâmetros!$B$65)*(1-(Parâmetros!$B$61+N21+Parâmetros!$B$78))-O21&lt;=0,"ERRO",(1-Parâmetros!$B$65)*M21/((1-Parâmetros!$B$65)*(1-(Parâmetros!$B$61+N21+Parâmetros!$B$78))-O21)))</f>
        <v/>
      </c>
      <c r="R21" s="11">
        <f>IF($B21="","",IF(Parâmetros!$B$64=2,P21,Q21))</f>
        <v/>
      </c>
      <c r="S21" s="18">
        <f>IF($B21="","",IF(Parâmetros!$B$64=2,IF(1-(Parâmetros!$B$61+N21+Parâmetros!$B$78)-Parâmetros!$B$66&lt;=0,"ERRO",M21/(1-(Parâmetros!$B$61+N21+Parâmetros!$B$78)-Parâmetros!$B$66)),IF((1-Parâmetros!$B$65)*(1-(Parâmetros!$B$61+N21+Parâmetros!$B$78))&lt;=0,"ERRO",(1-Parâmetros!$B$65)*M21/((1-Parâmetros!$B$65)*(1-(Parâmetros!$B$61+N21+Parâmetros!$B$78))))))</f>
        <v/>
      </c>
      <c r="T21" s="18">
        <f>IF($B21="","",IF(ISNUMBER(R21),R21*Parâmetros!$B$61,""))</f>
        <v/>
      </c>
      <c r="U21" s="18">
        <f>IF($B21="","",IF(ISNUMBER(R21),R21*N21,""))</f>
        <v/>
      </c>
      <c r="V21" s="18">
        <f>IF($B21="","",IF(ISNUMBER(R21),R21*Parâmetros!$B$78,""))</f>
        <v/>
      </c>
      <c r="W21" s="18">
        <f>IF($B21="","",IF(ISNUMBER(R21),IF(Parâmetros!$B$64=2,R21*Parâmetros!$B$66,Parâmetros!$B$65*(R21-M21-R21*(Parâmetros!$B$61+N21+Parâmetros!$B$78))),""))</f>
        <v/>
      </c>
      <c r="X21" s="11">
        <f>IF($B21="","",IF(ISNUMBER(R21),R21-M21-T21-U21-V21-W21,""))</f>
        <v/>
      </c>
      <c r="Y21" s="19">
        <f>IF($B21="","",IF(AND(ISNUMBER(R21),R21&gt;0),X21/R21,""))</f>
        <v/>
      </c>
      <c r="Z21" s="18">
        <f>IF($B21="","",IF(AND(ISNUMBER(R21),ISNUMBER(G21)),R21-G21,""))</f>
        <v/>
      </c>
      <c r="AA21" s="20">
        <f>IF($B21="","",IF(NOT(ISNUMBER(R21)),"Percentuais ≥ 100%",IF(N(D21)=0,"Sem tempo",IF(J21=0,"Sem materiais",""))))</f>
        <v/>
      </c>
    </row>
    <row r="22">
      <c r="A22" s="7" t="inlineStr">
        <is>
          <t>5.0</t>
        </is>
      </c>
      <c r="B22" s="7" t="inlineStr">
        <is>
          <t>Extração raiz residual</t>
        </is>
      </c>
      <c r="C22" s="7" t="inlineStr">
        <is>
          <t>Clínica Geral</t>
        </is>
      </c>
      <c r="D22" s="7" t="n">
        <v>90</v>
      </c>
      <c r="E22" s="8" t="n">
        <v>0</v>
      </c>
      <c r="F22" s="8" t="n">
        <v>60</v>
      </c>
      <c r="G22" s="8" t="n"/>
      <c r="H22" s="13" t="n"/>
      <c r="I22" s="13" t="n"/>
      <c r="J22" s="18">
        <f>IF($B22="","",SUMIFS(Itens!$E$2:$E$158,Itens!$A$2:$A$158,$B22)+N(F22))</f>
        <v/>
      </c>
      <c r="K22" s="18">
        <f>IF($B22="","",N(D22)/60*Parâmetros!$B$57)</f>
        <v/>
      </c>
      <c r="L22" s="18">
        <f>IF($B22="","",N(D22)/60*Parâmetros!$B$60)</f>
        <v/>
      </c>
      <c r="M22" s="11">
        <f>IF($B22="","",J22+N(E22)+K22+L22)</f>
        <v/>
      </c>
      <c r="N22" s="19">
        <f>IF($B22="","",IF(H22="",Parâmetros!$B$62,H22))</f>
        <v/>
      </c>
      <c r="O22" s="19">
        <f>IF($B22="","",IF(I22="",Parâmetros!$B$63,I22))</f>
        <v/>
      </c>
      <c r="P22" s="18">
        <f>IF($B22="","",IF(1-(Parâmetros!$B$61+N22+Parâmetros!$B$78)-Parâmetros!$B$66-O22&lt;=0,"ERRO",M22/(1-(Parâmetros!$B$61+N22+Parâmetros!$B$78)-Parâmetros!$B$66-O22)))</f>
        <v/>
      </c>
      <c r="Q22" s="18">
        <f>IF($B22="","",IF((1-Parâmetros!$B$65)*(1-(Parâmetros!$B$61+N22+Parâmetros!$B$78))-O22&lt;=0,"ERRO",(1-Parâmetros!$B$65)*M22/((1-Parâmetros!$B$65)*(1-(Parâmetros!$B$61+N22+Parâmetros!$B$78))-O22)))</f>
        <v/>
      </c>
      <c r="R22" s="11">
        <f>IF($B22="","",IF(Parâmetros!$B$64=2,P22,Q22))</f>
        <v/>
      </c>
      <c r="S22" s="18">
        <f>IF($B22="","",IF(Parâmetros!$B$64=2,IF(1-(Parâmetros!$B$61+N22+Parâmetros!$B$78)-Parâmetros!$B$66&lt;=0,"ERRO",M22/(1-(Parâmetros!$B$61+N22+Parâmetros!$B$78)-Parâmetros!$B$66)),IF((1-Parâmetros!$B$65)*(1-(Parâmetros!$B$61+N22+Parâmetros!$B$78))&lt;=0,"ERRO",(1-Parâmetros!$B$65)*M22/((1-Parâmetros!$B$65)*(1-(Parâmetros!$B$61+N22+Parâmetros!$B$78))))))</f>
        <v/>
      </c>
      <c r="T22" s="18">
        <f>IF($B22="","",IF(ISNUMBER(R22),R22*Parâmetros!$B$61,""))</f>
        <v/>
      </c>
      <c r="U22" s="18">
        <f>IF($B22="","",IF(ISNUMBER(R22),R22*N22,""))</f>
        <v/>
      </c>
      <c r="V22" s="18">
        <f>IF($B22="","",IF(ISNUMBER(R22),R22*Parâmetros!$B$78,""))</f>
        <v/>
      </c>
      <c r="W22" s="18">
        <f>IF($B22="","",IF(ISNUMBER(R22),IF(Parâmetros!$B$64=2,R22*Parâmetros!$B$66,Parâmetros!$B$65*(R22-M22-R22*(Parâmetros!$B$61+N22+Parâmetros!$B$78))),""))</f>
        <v/>
      </c>
      <c r="X22" s="11">
        <f>IF($B22="","",IF(ISNUMBER(R22),R22-M22-T22-U22-V22-W22,""))</f>
        <v/>
      </c>
      <c r="Y22" s="19">
        <f>IF($B22="","",IF(AND(ISNUMBER(R22),R22&gt;0),X22/R22,""))</f>
        <v/>
      </c>
      <c r="Z22" s="18">
        <f>IF($B22="","",IF(AND(ISNUMBER(R22),ISNUMBER(G22)),R22-G22,""))</f>
        <v/>
      </c>
      <c r="AA22" s="20">
        <f>IF($B22="","",IF(NOT(ISNUMBER(R22)),"Percentuais ≥ 100%",IF(N(D22)=0,"Sem tempo",IF(J22=0,"Sem materiais",""))))</f>
        <v/>
      </c>
    </row>
    <row r="23">
      <c r="A23" s="7" t="inlineStr">
        <is>
          <t>5.1</t>
        </is>
      </c>
      <c r="B23" s="7" t="inlineStr">
        <is>
          <t>Extração simples</t>
        </is>
      </c>
      <c r="C23" s="7" t="inlineStr">
        <is>
          <t>Clínica Geral</t>
        </is>
      </c>
      <c r="D23" s="7" t="n">
        <v>90</v>
      </c>
      <c r="E23" s="8" t="n">
        <v>0</v>
      </c>
      <c r="F23" s="8" t="n">
        <v>60</v>
      </c>
      <c r="G23" s="8" t="n"/>
      <c r="H23" s="13" t="n"/>
      <c r="I23" s="13" t="n"/>
      <c r="J23" s="18">
        <f>IF($B23="","",SUMIFS(Itens!$E$2:$E$158,Itens!$A$2:$A$158,$B23)+N(F23))</f>
        <v/>
      </c>
      <c r="K23" s="18">
        <f>IF($B23="","",N(D23)/60*Parâmetros!$B$57)</f>
        <v/>
      </c>
      <c r="L23" s="18">
        <f>IF($B23="","",N(D23)/60*Parâmetros!$B$60)</f>
        <v/>
      </c>
      <c r="M23" s="11">
        <f>IF($B23="","",J23+N(E23)+K23+L23)</f>
        <v/>
      </c>
      <c r="N23" s="19">
        <f>IF($B23="","",IF(H23="",Parâmetros!$B$62,H23))</f>
        <v/>
      </c>
      <c r="O23" s="19">
        <f>IF($B23="","",IF(I23="",Parâmetros!$B$63,I23))</f>
        <v/>
      </c>
      <c r="P23" s="18">
        <f>IF($B23="","",IF(1-(Parâmetros!$B$61+N23+Parâmetros!$B$78)-Parâmetros!$B$66-O23&lt;=0,"ERRO",M23/(1-(Parâmetros!$B$61+N23+Parâmetros!$B$78)-Parâmetros!$B$66-O23)))</f>
        <v/>
      </c>
      <c r="Q23" s="18">
        <f>IF($B23="","",IF((1-Parâmetros!$B$65)*(1-(Parâmetros!$B$61+N23+Parâmetros!$B$78))-O23&lt;=0,"ERRO",(1-Parâmetros!$B$65)*M23/((1-Parâmetros!$B$65)*(1-(Parâmetros!$B$61+N23+Parâmetros!$B$78))-O23)))</f>
        <v/>
      </c>
      <c r="R23" s="11">
        <f>IF($B23="","",IF(Parâmetros!$B$64=2,P23,Q23))</f>
        <v/>
      </c>
      <c r="S23" s="18">
        <f>IF($B23="","",IF(Parâmetros!$B$64=2,IF(1-(Parâmetros!$B$61+N23+Parâmetros!$B$78)-Parâmetros!$B$66&lt;=0,"ERRO",M23/(1-(Parâmetros!$B$61+N23+Parâmetros!$B$78)-Parâmetros!$B$66)),IF((1-Parâmetros!$B$65)*(1-(Parâmetros!$B$61+N23+Parâmetros!$B$78))&lt;=0,"ERRO",(1-Parâmetros!$B$65)*M23/((1-Parâmetros!$B$65)*(1-(Parâmetros!$B$61+N23+Parâmetros!$B$78))))))</f>
        <v/>
      </c>
      <c r="T23" s="18">
        <f>IF($B23="","",IF(ISNUMBER(R23),R23*Parâmetros!$B$61,""))</f>
        <v/>
      </c>
      <c r="U23" s="18">
        <f>IF($B23="","",IF(ISNUMBER(R23),R23*N23,""))</f>
        <v/>
      </c>
      <c r="V23" s="18">
        <f>IF($B23="","",IF(ISNUMBER(R23),R23*Parâmetros!$B$78,""))</f>
        <v/>
      </c>
      <c r="W23" s="18">
        <f>IF($B23="","",IF(ISNUMBER(R23),IF(Parâmetros!$B$64=2,R23*Parâmetros!$B$66,Parâmetros!$B$65*(R23-M23-R23*(Parâmetros!$B$61+N23+Parâmetros!$B$78))),""))</f>
        <v/>
      </c>
      <c r="X23" s="11">
        <f>IF($B23="","",IF(ISNUMBER(R23),R23-M23-T23-U23-V23-W23,""))</f>
        <v/>
      </c>
      <c r="Y23" s="19">
        <f>IF($B23="","",IF(AND(ISNUMBER(R23),R23&gt;0),X23/R23,""))</f>
        <v/>
      </c>
      <c r="Z23" s="18">
        <f>IF($B23="","",IF(AND(ISNUMBER(R23),ISNUMBER(G23)),R23-G23,""))</f>
        <v/>
      </c>
      <c r="AA23" s="20">
        <f>IF($B23="","",IF(NOT(ISNUMBER(R23)),"Percentuais ≥ 100%",IF(N(D23)=0,"Sem tempo",IF(J23=0,"Sem materiais",""))))</f>
        <v/>
      </c>
    </row>
    <row r="24">
      <c r="A24" s="7" t="inlineStr">
        <is>
          <t>5.2</t>
        </is>
      </c>
      <c r="B24" s="7" t="inlineStr">
        <is>
          <t>Extração a retalho</t>
        </is>
      </c>
      <c r="C24" s="7" t="inlineStr">
        <is>
          <t>Clínica Geral</t>
        </is>
      </c>
      <c r="D24" s="7" t="n">
        <v>120</v>
      </c>
      <c r="E24" s="8" t="n">
        <v>0</v>
      </c>
      <c r="F24" s="8" t="n">
        <v>80</v>
      </c>
      <c r="G24" s="8" t="n"/>
      <c r="H24" s="13" t="n"/>
      <c r="I24" s="13" t="n"/>
      <c r="J24" s="18">
        <f>IF($B24="","",SUMIFS(Itens!$E$2:$E$158,Itens!$A$2:$A$158,$B24)+N(F24))</f>
        <v/>
      </c>
      <c r="K24" s="18">
        <f>IF($B24="","",N(D24)/60*Parâmetros!$B$57)</f>
        <v/>
      </c>
      <c r="L24" s="18">
        <f>IF($B24="","",N(D24)/60*Parâmetros!$B$60)</f>
        <v/>
      </c>
      <c r="M24" s="11">
        <f>IF($B24="","",J24+N(E24)+K24+L24)</f>
        <v/>
      </c>
      <c r="N24" s="19">
        <f>IF($B24="","",IF(H24="",Parâmetros!$B$62,H24))</f>
        <v/>
      </c>
      <c r="O24" s="19">
        <f>IF($B24="","",IF(I24="",Parâmetros!$B$63,I24))</f>
        <v/>
      </c>
      <c r="P24" s="18">
        <f>IF($B24="","",IF(1-(Parâmetros!$B$61+N24+Parâmetros!$B$78)-Parâmetros!$B$66-O24&lt;=0,"ERRO",M24/(1-(Parâmetros!$B$61+N24+Parâmetros!$B$78)-Parâmetros!$B$66-O24)))</f>
        <v/>
      </c>
      <c r="Q24" s="18">
        <f>IF($B24="","",IF((1-Parâmetros!$B$65)*(1-(Parâmetros!$B$61+N24+Parâmetros!$B$78))-O24&lt;=0,"ERRO",(1-Parâmetros!$B$65)*M24/((1-Parâmetros!$B$65)*(1-(Parâmetros!$B$61+N24+Parâmetros!$B$78))-O24)))</f>
        <v/>
      </c>
      <c r="R24" s="11">
        <f>IF($B24="","",IF(Parâmetros!$B$64=2,P24,Q24))</f>
        <v/>
      </c>
      <c r="S24" s="18">
        <f>IF($B24="","",IF(Parâmetros!$B$64=2,IF(1-(Parâmetros!$B$61+N24+Parâmetros!$B$78)-Parâmetros!$B$66&lt;=0,"ERRO",M24/(1-(Parâmetros!$B$61+N24+Parâmetros!$B$78)-Parâmetros!$B$66)),IF((1-Parâmetros!$B$65)*(1-(Parâmetros!$B$61+N24+Parâmetros!$B$78))&lt;=0,"ERRO",(1-Parâmetros!$B$65)*M24/((1-Parâmetros!$B$65)*(1-(Parâmetros!$B$61+N24+Parâmetros!$B$78))))))</f>
        <v/>
      </c>
      <c r="T24" s="18">
        <f>IF($B24="","",IF(ISNUMBER(R24),R24*Parâmetros!$B$61,""))</f>
        <v/>
      </c>
      <c r="U24" s="18">
        <f>IF($B24="","",IF(ISNUMBER(R24),R24*N24,""))</f>
        <v/>
      </c>
      <c r="V24" s="18">
        <f>IF($B24="","",IF(ISNUMBER(R24),R24*Parâmetros!$B$78,""))</f>
        <v/>
      </c>
      <c r="W24" s="18">
        <f>IF($B24="","",IF(ISNUMBER(R24),IF(Parâmetros!$B$64=2,R24*Parâmetros!$B$66,Parâmetros!$B$65*(R24-M24-R24*(Parâmetros!$B$61+N24+Parâmetros!$B$78))),""))</f>
        <v/>
      </c>
      <c r="X24" s="11">
        <f>IF($B24="","",IF(ISNUMBER(R24),R24-M24-T24-U24-V24-W24,""))</f>
        <v/>
      </c>
      <c r="Y24" s="19">
        <f>IF($B24="","",IF(AND(ISNUMBER(R24),R24&gt;0),X24/R24,""))</f>
        <v/>
      </c>
      <c r="Z24" s="18">
        <f>IF($B24="","",IF(AND(ISNUMBER(R24),ISNUMBER(G24)),R24-G24,""))</f>
        <v/>
      </c>
      <c r="AA24" s="20">
        <f>IF($B24="","",IF(NOT(ISNUMBER(R24)),"Percentuais ≥ 100%",IF(N(D24)=0,"Sem tempo",IF(J24=0,"Sem materiais",""))))</f>
        <v/>
      </c>
    </row>
    <row r="25">
      <c r="A25" s="7" t="inlineStr">
        <is>
          <t>5.3</t>
        </is>
      </c>
      <c r="B25" s="7" t="inlineStr">
        <is>
          <t>Extração de supranumerário</t>
        </is>
      </c>
      <c r="C25" s="7" t="inlineStr">
        <is>
          <t>Clínica Geral</t>
        </is>
      </c>
      <c r="D25" s="7" t="n">
        <v>120</v>
      </c>
      <c r="E25" s="8" t="n">
        <v>0</v>
      </c>
      <c r="F25" s="8" t="n">
        <v>80</v>
      </c>
      <c r="G25" s="8" t="n"/>
      <c r="H25" s="13" t="n"/>
      <c r="I25" s="13" t="n"/>
      <c r="J25" s="18">
        <f>IF($B25="","",SUMIFS(Itens!$E$2:$E$158,Itens!$A$2:$A$158,$B25)+N(F25))</f>
        <v/>
      </c>
      <c r="K25" s="18">
        <f>IF($B25="","",N(D25)/60*Parâmetros!$B$57)</f>
        <v/>
      </c>
      <c r="L25" s="18">
        <f>IF($B25="","",N(D25)/60*Parâmetros!$B$60)</f>
        <v/>
      </c>
      <c r="M25" s="11">
        <f>IF($B25="","",J25+N(E25)+K25+L25)</f>
        <v/>
      </c>
      <c r="N25" s="19">
        <f>IF($B25="","",IF(H25="",Parâmetros!$B$62,H25))</f>
        <v/>
      </c>
      <c r="O25" s="19">
        <f>IF($B25="","",IF(I25="",Parâmetros!$B$63,I25))</f>
        <v/>
      </c>
      <c r="P25" s="18">
        <f>IF($B25="","",IF(1-(Parâmetros!$B$61+N25+Parâmetros!$B$78)-Parâmetros!$B$66-O25&lt;=0,"ERRO",M25/(1-(Parâmetros!$B$61+N25+Parâmetros!$B$78)-Parâmetros!$B$66-O25)))</f>
        <v/>
      </c>
      <c r="Q25" s="18">
        <f>IF($B25="","",IF((1-Parâmetros!$B$65)*(1-(Parâmetros!$B$61+N25+Parâmetros!$B$78))-O25&lt;=0,"ERRO",(1-Parâmetros!$B$65)*M25/((1-Parâmetros!$B$65)*(1-(Parâmetros!$B$61+N25+Parâmetros!$B$78))-O25)))</f>
        <v/>
      </c>
      <c r="R25" s="11">
        <f>IF($B25="","",IF(Parâmetros!$B$64=2,P25,Q25))</f>
        <v/>
      </c>
      <c r="S25" s="18">
        <f>IF($B25="","",IF(Parâmetros!$B$64=2,IF(1-(Parâmetros!$B$61+N25+Parâmetros!$B$78)-Parâmetros!$B$66&lt;=0,"ERRO",M25/(1-(Parâmetros!$B$61+N25+Parâmetros!$B$78)-Parâmetros!$B$66)),IF((1-Parâmetros!$B$65)*(1-(Parâmetros!$B$61+N25+Parâmetros!$B$78))&lt;=0,"ERRO",(1-Parâmetros!$B$65)*M25/((1-Parâmetros!$B$65)*(1-(Parâmetros!$B$61+N25+Parâmetros!$B$78))))))</f>
        <v/>
      </c>
      <c r="T25" s="18">
        <f>IF($B25="","",IF(ISNUMBER(R25),R25*Parâmetros!$B$61,""))</f>
        <v/>
      </c>
      <c r="U25" s="18">
        <f>IF($B25="","",IF(ISNUMBER(R25),R25*N25,""))</f>
        <v/>
      </c>
      <c r="V25" s="18">
        <f>IF($B25="","",IF(ISNUMBER(R25),R25*Parâmetros!$B$78,""))</f>
        <v/>
      </c>
      <c r="W25" s="18">
        <f>IF($B25="","",IF(ISNUMBER(R25),IF(Parâmetros!$B$64=2,R25*Parâmetros!$B$66,Parâmetros!$B$65*(R25-M25-R25*(Parâmetros!$B$61+N25+Parâmetros!$B$78))),""))</f>
        <v/>
      </c>
      <c r="X25" s="11">
        <f>IF($B25="","",IF(ISNUMBER(R25),R25-M25-T25-U25-V25-W25,""))</f>
        <v/>
      </c>
      <c r="Y25" s="19">
        <f>IF($B25="","",IF(AND(ISNUMBER(R25),R25&gt;0),X25/R25,""))</f>
        <v/>
      </c>
      <c r="Z25" s="18">
        <f>IF($B25="","",IF(AND(ISNUMBER(R25),ISNUMBER(G25)),R25-G25,""))</f>
        <v/>
      </c>
      <c r="AA25" s="20">
        <f>IF($B25="","",IF(NOT(ISNUMBER(R25)),"Percentuais ≥ 100%",IF(N(D25)=0,"Sem tempo",IF(J25=0,"Sem materiais",""))))</f>
        <v/>
      </c>
    </row>
    <row r="26">
      <c r="A26" s="7" t="inlineStr">
        <is>
          <t>5.4</t>
        </is>
      </c>
      <c r="B26" s="7" t="inlineStr">
        <is>
          <t>Extração terceiro molar simples</t>
        </is>
      </c>
      <c r="C26" s="7" t="inlineStr">
        <is>
          <t>Clínica Geral</t>
        </is>
      </c>
      <c r="D26" s="7" t="n">
        <v>120</v>
      </c>
      <c r="E26" s="8" t="n">
        <v>0</v>
      </c>
      <c r="F26" s="8" t="n">
        <v>60</v>
      </c>
      <c r="G26" s="8" t="n"/>
      <c r="H26" s="13" t="n"/>
      <c r="I26" s="13" t="n"/>
      <c r="J26" s="18">
        <f>IF($B26="","",SUMIFS(Itens!$E$2:$E$158,Itens!$A$2:$A$158,$B26)+N(F26))</f>
        <v/>
      </c>
      <c r="K26" s="18">
        <f>IF($B26="","",N(D26)/60*Parâmetros!$B$57)</f>
        <v/>
      </c>
      <c r="L26" s="18">
        <f>IF($B26="","",N(D26)/60*Parâmetros!$B$60)</f>
        <v/>
      </c>
      <c r="M26" s="11">
        <f>IF($B26="","",J26+N(E26)+K26+L26)</f>
        <v/>
      </c>
      <c r="N26" s="19">
        <f>IF($B26="","",IF(H26="",Parâmetros!$B$62,H26))</f>
        <v/>
      </c>
      <c r="O26" s="19">
        <f>IF($B26="","",IF(I26="",Parâmetros!$B$63,I26))</f>
        <v/>
      </c>
      <c r="P26" s="18">
        <f>IF($B26="","",IF(1-(Parâmetros!$B$61+N26+Parâmetros!$B$78)-Parâmetros!$B$66-O26&lt;=0,"ERRO",M26/(1-(Parâmetros!$B$61+N26+Parâmetros!$B$78)-Parâmetros!$B$66-O26)))</f>
        <v/>
      </c>
      <c r="Q26" s="18">
        <f>IF($B26="","",IF((1-Parâmetros!$B$65)*(1-(Parâmetros!$B$61+N26+Parâmetros!$B$78))-O26&lt;=0,"ERRO",(1-Parâmetros!$B$65)*M26/((1-Parâmetros!$B$65)*(1-(Parâmetros!$B$61+N26+Parâmetros!$B$78))-O26)))</f>
        <v/>
      </c>
      <c r="R26" s="11">
        <f>IF($B26="","",IF(Parâmetros!$B$64=2,P26,Q26))</f>
        <v/>
      </c>
      <c r="S26" s="18">
        <f>IF($B26="","",IF(Parâmetros!$B$64=2,IF(1-(Parâmetros!$B$61+N26+Parâmetros!$B$78)-Parâmetros!$B$66&lt;=0,"ERRO",M26/(1-(Parâmetros!$B$61+N26+Parâmetros!$B$78)-Parâmetros!$B$66)),IF((1-Parâmetros!$B$65)*(1-(Parâmetros!$B$61+N26+Parâmetros!$B$78))&lt;=0,"ERRO",(1-Parâmetros!$B$65)*M26/((1-Parâmetros!$B$65)*(1-(Parâmetros!$B$61+N26+Parâmetros!$B$78))))))</f>
        <v/>
      </c>
      <c r="T26" s="18">
        <f>IF($B26="","",IF(ISNUMBER(R26),R26*Parâmetros!$B$61,""))</f>
        <v/>
      </c>
      <c r="U26" s="18">
        <f>IF($B26="","",IF(ISNUMBER(R26),R26*N26,""))</f>
        <v/>
      </c>
      <c r="V26" s="18">
        <f>IF($B26="","",IF(ISNUMBER(R26),R26*Parâmetros!$B$78,""))</f>
        <v/>
      </c>
      <c r="W26" s="18">
        <f>IF($B26="","",IF(ISNUMBER(R26),IF(Parâmetros!$B$64=2,R26*Parâmetros!$B$66,Parâmetros!$B$65*(R26-M26-R26*(Parâmetros!$B$61+N26+Parâmetros!$B$78))),""))</f>
        <v/>
      </c>
      <c r="X26" s="11">
        <f>IF($B26="","",IF(ISNUMBER(R26),R26-M26-T26-U26-V26-W26,""))</f>
        <v/>
      </c>
      <c r="Y26" s="19">
        <f>IF($B26="","",IF(AND(ISNUMBER(R26),R26&gt;0),X26/R26,""))</f>
        <v/>
      </c>
      <c r="Z26" s="18">
        <f>IF($B26="","",IF(AND(ISNUMBER(R26),ISNUMBER(G26)),R26-G26,""))</f>
        <v/>
      </c>
      <c r="AA26" s="20">
        <f>IF($B26="","",IF(NOT(ISNUMBER(R26)),"Percentuais ≥ 100%",IF(N(D26)=0,"Sem tempo",IF(J26=0,"Sem materiais",""))))</f>
        <v/>
      </c>
    </row>
    <row r="27">
      <c r="A27" s="7" t="inlineStr">
        <is>
          <t>5.5</t>
        </is>
      </c>
      <c r="B27" s="7" t="inlineStr">
        <is>
          <t>Extração terceiro molar incluso</t>
        </is>
      </c>
      <c r="C27" s="7" t="inlineStr">
        <is>
          <t>Clínica Geral</t>
        </is>
      </c>
      <c r="D27" s="7" t="n">
        <v>120</v>
      </c>
      <c r="E27" s="8" t="n">
        <v>0</v>
      </c>
      <c r="F27" s="8" t="n">
        <v>80</v>
      </c>
      <c r="G27" s="8" t="n"/>
      <c r="H27" s="13" t="n"/>
      <c r="I27" s="13" t="n"/>
      <c r="J27" s="18">
        <f>IF($B27="","",SUMIFS(Itens!$E$2:$E$158,Itens!$A$2:$A$158,$B27)+N(F27))</f>
        <v/>
      </c>
      <c r="K27" s="18">
        <f>IF($B27="","",N(D27)/60*Parâmetros!$B$57)</f>
        <v/>
      </c>
      <c r="L27" s="18">
        <f>IF($B27="","",N(D27)/60*Parâmetros!$B$60)</f>
        <v/>
      </c>
      <c r="M27" s="11">
        <f>IF($B27="","",J27+N(E27)+K27+L27)</f>
        <v/>
      </c>
      <c r="N27" s="19">
        <f>IF($B27="","",IF(H27="",Parâmetros!$B$62,H27))</f>
        <v/>
      </c>
      <c r="O27" s="19">
        <f>IF($B27="","",IF(I27="",Parâmetros!$B$63,I27))</f>
        <v/>
      </c>
      <c r="P27" s="18">
        <f>IF($B27="","",IF(1-(Parâmetros!$B$61+N27+Parâmetros!$B$78)-Parâmetros!$B$66-O27&lt;=0,"ERRO",M27/(1-(Parâmetros!$B$61+N27+Parâmetros!$B$78)-Parâmetros!$B$66-O27)))</f>
        <v/>
      </c>
      <c r="Q27" s="18">
        <f>IF($B27="","",IF((1-Parâmetros!$B$65)*(1-(Parâmetros!$B$61+N27+Parâmetros!$B$78))-O27&lt;=0,"ERRO",(1-Parâmetros!$B$65)*M27/((1-Parâmetros!$B$65)*(1-(Parâmetros!$B$61+N27+Parâmetros!$B$78))-O27)))</f>
        <v/>
      </c>
      <c r="R27" s="11">
        <f>IF($B27="","",IF(Parâmetros!$B$64=2,P27,Q27))</f>
        <v/>
      </c>
      <c r="S27" s="18">
        <f>IF($B27="","",IF(Parâmetros!$B$64=2,IF(1-(Parâmetros!$B$61+N27+Parâmetros!$B$78)-Parâmetros!$B$66&lt;=0,"ERRO",M27/(1-(Parâmetros!$B$61+N27+Parâmetros!$B$78)-Parâmetros!$B$66)),IF((1-Parâmetros!$B$65)*(1-(Parâmetros!$B$61+N27+Parâmetros!$B$78))&lt;=0,"ERRO",(1-Parâmetros!$B$65)*M27/((1-Parâmetros!$B$65)*(1-(Parâmetros!$B$61+N27+Parâmetros!$B$78))))))</f>
        <v/>
      </c>
      <c r="T27" s="18">
        <f>IF($B27="","",IF(ISNUMBER(R27),R27*Parâmetros!$B$61,""))</f>
        <v/>
      </c>
      <c r="U27" s="18">
        <f>IF($B27="","",IF(ISNUMBER(R27),R27*N27,""))</f>
        <v/>
      </c>
      <c r="V27" s="18">
        <f>IF($B27="","",IF(ISNUMBER(R27),R27*Parâmetros!$B$78,""))</f>
        <v/>
      </c>
      <c r="W27" s="18">
        <f>IF($B27="","",IF(ISNUMBER(R27),IF(Parâmetros!$B$64=2,R27*Parâmetros!$B$66,Parâmetros!$B$65*(R27-M27-R27*(Parâmetros!$B$61+N27+Parâmetros!$B$78))),""))</f>
        <v/>
      </c>
      <c r="X27" s="11">
        <f>IF($B27="","",IF(ISNUMBER(R27),R27-M27-T27-U27-V27-W27,""))</f>
        <v/>
      </c>
      <c r="Y27" s="19">
        <f>IF($B27="","",IF(AND(ISNUMBER(R27),R27&gt;0),X27/R27,""))</f>
        <v/>
      </c>
      <c r="Z27" s="18">
        <f>IF($B27="","",IF(AND(ISNUMBER(R27),ISNUMBER(G27)),R27-G27,""))</f>
        <v/>
      </c>
      <c r="AA27" s="20">
        <f>IF($B27="","",IF(NOT(ISNUMBER(R27)),"Percentuais ≥ 100%",IF(N(D27)=0,"Sem tempo",IF(J27=0,"Sem materiais",""))))</f>
        <v/>
      </c>
    </row>
    <row r="28">
      <c r="A28" s="7" t="inlineStr">
        <is>
          <t>6.0</t>
        </is>
      </c>
      <c r="B28" s="7" t="inlineStr">
        <is>
          <t>Raspagem periodontal simples por arcada</t>
        </is>
      </c>
      <c r="C28" s="7" t="inlineStr">
        <is>
          <t>Clínica Geral</t>
        </is>
      </c>
      <c r="D28" s="7" t="n">
        <v>60</v>
      </c>
      <c r="E28" s="8" t="n">
        <v>0</v>
      </c>
      <c r="F28" s="8" t="n">
        <v>10</v>
      </c>
      <c r="G28" s="8" t="n"/>
      <c r="H28" s="13" t="n"/>
      <c r="I28" s="13" t="n"/>
      <c r="J28" s="18">
        <f>IF($B28="","",SUMIFS(Itens!$E$2:$E$158,Itens!$A$2:$A$158,$B28)+N(F28))</f>
        <v/>
      </c>
      <c r="K28" s="18">
        <f>IF($B28="","",N(D28)/60*Parâmetros!$B$57)</f>
        <v/>
      </c>
      <c r="L28" s="18">
        <f>IF($B28="","",N(D28)/60*Parâmetros!$B$60)</f>
        <v/>
      </c>
      <c r="M28" s="11">
        <f>IF($B28="","",J28+N(E28)+K28+L28)</f>
        <v/>
      </c>
      <c r="N28" s="19">
        <f>IF($B28="","",IF(H28="",Parâmetros!$B$62,H28))</f>
        <v/>
      </c>
      <c r="O28" s="19">
        <f>IF($B28="","",IF(I28="",Parâmetros!$B$63,I28))</f>
        <v/>
      </c>
      <c r="P28" s="18">
        <f>IF($B28="","",IF(1-(Parâmetros!$B$61+N28+Parâmetros!$B$78)-Parâmetros!$B$66-O28&lt;=0,"ERRO",M28/(1-(Parâmetros!$B$61+N28+Parâmetros!$B$78)-Parâmetros!$B$66-O28)))</f>
        <v/>
      </c>
      <c r="Q28" s="18">
        <f>IF($B28="","",IF((1-Parâmetros!$B$65)*(1-(Parâmetros!$B$61+N28+Parâmetros!$B$78))-O28&lt;=0,"ERRO",(1-Parâmetros!$B$65)*M28/((1-Parâmetros!$B$65)*(1-(Parâmetros!$B$61+N28+Parâmetros!$B$78))-O28)))</f>
        <v/>
      </c>
      <c r="R28" s="11">
        <f>IF($B28="","",IF(Parâmetros!$B$64=2,P28,Q28))</f>
        <v/>
      </c>
      <c r="S28" s="18">
        <f>IF($B28="","",IF(Parâmetros!$B$64=2,IF(1-(Parâmetros!$B$61+N28+Parâmetros!$B$78)-Parâmetros!$B$66&lt;=0,"ERRO",M28/(1-(Parâmetros!$B$61+N28+Parâmetros!$B$78)-Parâmetros!$B$66)),IF((1-Parâmetros!$B$65)*(1-(Parâmetros!$B$61+N28+Parâmetros!$B$78))&lt;=0,"ERRO",(1-Parâmetros!$B$65)*M28/((1-Parâmetros!$B$65)*(1-(Parâmetros!$B$61+N28+Parâmetros!$B$78))))))</f>
        <v/>
      </c>
      <c r="T28" s="18">
        <f>IF($B28="","",IF(ISNUMBER(R28),R28*Parâmetros!$B$61,""))</f>
        <v/>
      </c>
      <c r="U28" s="18">
        <f>IF($B28="","",IF(ISNUMBER(R28),R28*N28,""))</f>
        <v/>
      </c>
      <c r="V28" s="18">
        <f>IF($B28="","",IF(ISNUMBER(R28),R28*Parâmetros!$B$78,""))</f>
        <v/>
      </c>
      <c r="W28" s="18">
        <f>IF($B28="","",IF(ISNUMBER(R28),IF(Parâmetros!$B$64=2,R28*Parâmetros!$B$66,Parâmetros!$B$65*(R28-M28-R28*(Parâmetros!$B$61+N28+Parâmetros!$B$78))),""))</f>
        <v/>
      </c>
      <c r="X28" s="11">
        <f>IF($B28="","",IF(ISNUMBER(R28),R28-M28-T28-U28-V28-W28,""))</f>
        <v/>
      </c>
      <c r="Y28" s="19">
        <f>IF($B28="","",IF(AND(ISNUMBER(R28),R28&gt;0),X28/R28,""))</f>
        <v/>
      </c>
      <c r="Z28" s="18">
        <f>IF($B28="","",IF(AND(ISNUMBER(R28),ISNUMBER(G28)),R28-G28,""))</f>
        <v/>
      </c>
      <c r="AA28" s="20">
        <f>IF($B28="","",IF(NOT(ISNUMBER(R28)),"Percentuais ≥ 100%",IF(N(D28)=0,"Sem tempo",IF(J28=0,"Sem materiais",""))))</f>
        <v/>
      </c>
    </row>
    <row r="29">
      <c r="A29" s="7" t="inlineStr">
        <is>
          <t>6.1</t>
        </is>
      </c>
      <c r="B29" s="7" t="inlineStr">
        <is>
          <t>Raspagem periodontal a retalho</t>
        </is>
      </c>
      <c r="C29" s="7" t="inlineStr">
        <is>
          <t>Clínica Geral</t>
        </is>
      </c>
      <c r="D29" s="7" t="n">
        <v>90</v>
      </c>
      <c r="E29" s="8" t="n">
        <v>0</v>
      </c>
      <c r="F29" s="8" t="n">
        <v>60</v>
      </c>
      <c r="G29" s="8" t="n"/>
      <c r="H29" s="13" t="n"/>
      <c r="I29" s="13" t="n"/>
      <c r="J29" s="18">
        <f>IF($B29="","",SUMIFS(Itens!$E$2:$E$158,Itens!$A$2:$A$158,$B29)+N(F29))</f>
        <v/>
      </c>
      <c r="K29" s="18">
        <f>IF($B29="","",N(D29)/60*Parâmetros!$B$57)</f>
        <v/>
      </c>
      <c r="L29" s="18">
        <f>IF($B29="","",N(D29)/60*Parâmetros!$B$60)</f>
        <v/>
      </c>
      <c r="M29" s="11">
        <f>IF($B29="","",J29+N(E29)+K29+L29)</f>
        <v/>
      </c>
      <c r="N29" s="19">
        <f>IF($B29="","",IF(H29="",Parâmetros!$B$62,H29))</f>
        <v/>
      </c>
      <c r="O29" s="19">
        <f>IF($B29="","",IF(I29="",Parâmetros!$B$63,I29))</f>
        <v/>
      </c>
      <c r="P29" s="18">
        <f>IF($B29="","",IF(1-(Parâmetros!$B$61+N29+Parâmetros!$B$78)-Parâmetros!$B$66-O29&lt;=0,"ERRO",M29/(1-(Parâmetros!$B$61+N29+Parâmetros!$B$78)-Parâmetros!$B$66-O29)))</f>
        <v/>
      </c>
      <c r="Q29" s="18">
        <f>IF($B29="","",IF((1-Parâmetros!$B$65)*(1-(Parâmetros!$B$61+N29+Parâmetros!$B$78))-O29&lt;=0,"ERRO",(1-Parâmetros!$B$65)*M29/((1-Parâmetros!$B$65)*(1-(Parâmetros!$B$61+N29+Parâmetros!$B$78))-O29)))</f>
        <v/>
      </c>
      <c r="R29" s="11">
        <f>IF($B29="","",IF(Parâmetros!$B$64=2,P29,Q29))</f>
        <v/>
      </c>
      <c r="S29" s="18">
        <f>IF($B29="","",IF(Parâmetros!$B$64=2,IF(1-(Parâmetros!$B$61+N29+Parâmetros!$B$78)-Parâmetros!$B$66&lt;=0,"ERRO",M29/(1-(Parâmetros!$B$61+N29+Parâmetros!$B$78)-Parâmetros!$B$66)),IF((1-Parâmetros!$B$65)*(1-(Parâmetros!$B$61+N29+Parâmetros!$B$78))&lt;=0,"ERRO",(1-Parâmetros!$B$65)*M29/((1-Parâmetros!$B$65)*(1-(Parâmetros!$B$61+N29+Parâmetros!$B$78))))))</f>
        <v/>
      </c>
      <c r="T29" s="18">
        <f>IF($B29="","",IF(ISNUMBER(R29),R29*Parâmetros!$B$61,""))</f>
        <v/>
      </c>
      <c r="U29" s="18">
        <f>IF($B29="","",IF(ISNUMBER(R29),R29*N29,""))</f>
        <v/>
      </c>
      <c r="V29" s="18">
        <f>IF($B29="","",IF(ISNUMBER(R29),R29*Parâmetros!$B$78,""))</f>
        <v/>
      </c>
      <c r="W29" s="18">
        <f>IF($B29="","",IF(ISNUMBER(R29),IF(Parâmetros!$B$64=2,R29*Parâmetros!$B$66,Parâmetros!$B$65*(R29-M29-R29*(Parâmetros!$B$61+N29+Parâmetros!$B$78))),""))</f>
        <v/>
      </c>
      <c r="X29" s="11">
        <f>IF($B29="","",IF(ISNUMBER(R29),R29-M29-T29-U29-V29-W29,""))</f>
        <v/>
      </c>
      <c r="Y29" s="19">
        <f>IF($B29="","",IF(AND(ISNUMBER(R29),R29&gt;0),X29/R29,""))</f>
        <v/>
      </c>
      <c r="Z29" s="18">
        <f>IF($B29="","",IF(AND(ISNUMBER(R29),ISNUMBER(G29)),R29-G29,""))</f>
        <v/>
      </c>
      <c r="AA29" s="20">
        <f>IF($B29="","",IF(NOT(ISNUMBER(R29)),"Percentuais ≥ 100%",IF(N(D29)=0,"Sem tempo",IF(J29=0,"Sem materiais",""))))</f>
        <v/>
      </c>
    </row>
    <row r="30">
      <c r="A30" s="7" t="inlineStr">
        <is>
          <t>7.0</t>
        </is>
      </c>
      <c r="B30" s="7" t="inlineStr">
        <is>
          <t>Implante unitário</t>
        </is>
      </c>
      <c r="C30" s="7" t="inlineStr">
        <is>
          <t>Implante</t>
        </is>
      </c>
      <c r="D30" s="7" t="n">
        <v>0</v>
      </c>
      <c r="E30" s="8" t="n">
        <v>0</v>
      </c>
      <c r="F30" s="8" t="n">
        <v>0</v>
      </c>
      <c r="G30" s="8" t="n"/>
      <c r="H30" s="13" t="n"/>
      <c r="I30" s="13" t="n">
        <v>0.2</v>
      </c>
      <c r="J30" s="18">
        <f>IF($B30="","",SUMIFS(Itens!$E$2:$E$158,Itens!$A$2:$A$158,$B30)+N(F30))</f>
        <v/>
      </c>
      <c r="K30" s="18">
        <f>IF($B30="","",N(D30)/60*Parâmetros!$B$57)</f>
        <v/>
      </c>
      <c r="L30" s="18">
        <f>IF($B30="","",N(D30)/60*Parâmetros!$B$60)</f>
        <v/>
      </c>
      <c r="M30" s="11">
        <f>IF($B30="","",J30+N(E30)+K30+L30)</f>
        <v/>
      </c>
      <c r="N30" s="19">
        <f>IF($B30="","",IF(H30="",Parâmetros!$B$62,H30))</f>
        <v/>
      </c>
      <c r="O30" s="19">
        <f>IF($B30="","",IF(I30="",Parâmetros!$B$63,I30))</f>
        <v/>
      </c>
      <c r="P30" s="18">
        <f>IF($B30="","",IF(1-(Parâmetros!$B$61+N30+Parâmetros!$B$78)-Parâmetros!$B$66-O30&lt;=0,"ERRO",M30/(1-(Parâmetros!$B$61+N30+Parâmetros!$B$78)-Parâmetros!$B$66-O30)))</f>
        <v/>
      </c>
      <c r="Q30" s="18">
        <f>IF($B30="","",IF((1-Parâmetros!$B$65)*(1-(Parâmetros!$B$61+N30+Parâmetros!$B$78))-O30&lt;=0,"ERRO",(1-Parâmetros!$B$65)*M30/((1-Parâmetros!$B$65)*(1-(Parâmetros!$B$61+N30+Parâmetros!$B$78))-O30)))</f>
        <v/>
      </c>
      <c r="R30" s="11">
        <f>IF($B30="","",IF(Parâmetros!$B$64=2,P30,Q30))</f>
        <v/>
      </c>
      <c r="S30" s="18">
        <f>IF($B30="","",IF(Parâmetros!$B$64=2,IF(1-(Parâmetros!$B$61+N30+Parâmetros!$B$78)-Parâmetros!$B$66&lt;=0,"ERRO",M30/(1-(Parâmetros!$B$61+N30+Parâmetros!$B$78)-Parâmetros!$B$66)),IF((1-Parâmetros!$B$65)*(1-(Parâmetros!$B$61+N30+Parâmetros!$B$78))&lt;=0,"ERRO",(1-Parâmetros!$B$65)*M30/((1-Parâmetros!$B$65)*(1-(Parâmetros!$B$61+N30+Parâmetros!$B$78))))))</f>
        <v/>
      </c>
      <c r="T30" s="18">
        <f>IF($B30="","",IF(ISNUMBER(R30),R30*Parâmetros!$B$61,""))</f>
        <v/>
      </c>
      <c r="U30" s="18">
        <f>IF($B30="","",IF(ISNUMBER(R30),R30*N30,""))</f>
        <v/>
      </c>
      <c r="V30" s="18">
        <f>IF($B30="","",IF(ISNUMBER(R30),R30*Parâmetros!$B$78,""))</f>
        <v/>
      </c>
      <c r="W30" s="18">
        <f>IF($B30="","",IF(ISNUMBER(R30),IF(Parâmetros!$B$64=2,R30*Parâmetros!$B$66,Parâmetros!$B$65*(R30-M30-R30*(Parâmetros!$B$61+N30+Parâmetros!$B$78))),""))</f>
        <v/>
      </c>
      <c r="X30" s="11">
        <f>IF($B30="","",IF(ISNUMBER(R30),R30-M30-T30-U30-V30-W30,""))</f>
        <v/>
      </c>
      <c r="Y30" s="19">
        <f>IF($B30="","",IF(AND(ISNUMBER(R30),R30&gt;0),X30/R30,""))</f>
        <v/>
      </c>
      <c r="Z30" s="18">
        <f>IF($B30="","",IF(AND(ISNUMBER(R30),ISNUMBER(G30)),R30-G30,""))</f>
        <v/>
      </c>
      <c r="AA30" s="20">
        <f>IF($B30="","",IF(NOT(ISNUMBER(R30)),"Percentuais ≥ 100%",IF(N(D30)=0,"Sem tempo",IF(J30=0,"Sem materiais",""))))</f>
        <v/>
      </c>
    </row>
    <row r="31">
      <c r="A31" s="7" t="inlineStr">
        <is>
          <t>7.1</t>
        </is>
      </c>
      <c r="B31" s="7" t="inlineStr">
        <is>
          <t>Implante unitário com enxerto ósseo</t>
        </is>
      </c>
      <c r="C31" s="7" t="inlineStr">
        <is>
          <t>Implante</t>
        </is>
      </c>
      <c r="D31" s="7" t="n">
        <v>0</v>
      </c>
      <c r="E31" s="8" t="n">
        <v>0</v>
      </c>
      <c r="F31" s="8" t="n">
        <v>0</v>
      </c>
      <c r="G31" s="8" t="n"/>
      <c r="H31" s="13" t="n"/>
      <c r="I31" s="13" t="n">
        <v>0.2</v>
      </c>
      <c r="J31" s="18">
        <f>IF($B31="","",SUMIFS(Itens!$E$2:$E$158,Itens!$A$2:$A$158,$B31)+N(F31))</f>
        <v/>
      </c>
      <c r="K31" s="18">
        <f>IF($B31="","",N(D31)/60*Parâmetros!$B$57)</f>
        <v/>
      </c>
      <c r="L31" s="18">
        <f>IF($B31="","",N(D31)/60*Parâmetros!$B$60)</f>
        <v/>
      </c>
      <c r="M31" s="11">
        <f>IF($B31="","",J31+N(E31)+K31+L31)</f>
        <v/>
      </c>
      <c r="N31" s="19">
        <f>IF($B31="","",IF(H31="",Parâmetros!$B$62,H31))</f>
        <v/>
      </c>
      <c r="O31" s="19">
        <f>IF($B31="","",IF(I31="",Parâmetros!$B$63,I31))</f>
        <v/>
      </c>
      <c r="P31" s="18">
        <f>IF($B31="","",IF(1-(Parâmetros!$B$61+N31+Parâmetros!$B$78)-Parâmetros!$B$66-O31&lt;=0,"ERRO",M31/(1-(Parâmetros!$B$61+N31+Parâmetros!$B$78)-Parâmetros!$B$66-O31)))</f>
        <v/>
      </c>
      <c r="Q31" s="18">
        <f>IF($B31="","",IF((1-Parâmetros!$B$65)*(1-(Parâmetros!$B$61+N31+Parâmetros!$B$78))-O31&lt;=0,"ERRO",(1-Parâmetros!$B$65)*M31/((1-Parâmetros!$B$65)*(1-(Parâmetros!$B$61+N31+Parâmetros!$B$78))-O31)))</f>
        <v/>
      </c>
      <c r="R31" s="11">
        <f>IF($B31="","",IF(Parâmetros!$B$64=2,P31,Q31))</f>
        <v/>
      </c>
      <c r="S31" s="18">
        <f>IF($B31="","",IF(Parâmetros!$B$64=2,IF(1-(Parâmetros!$B$61+N31+Parâmetros!$B$78)-Parâmetros!$B$66&lt;=0,"ERRO",M31/(1-(Parâmetros!$B$61+N31+Parâmetros!$B$78)-Parâmetros!$B$66)),IF((1-Parâmetros!$B$65)*(1-(Parâmetros!$B$61+N31+Parâmetros!$B$78))&lt;=0,"ERRO",(1-Parâmetros!$B$65)*M31/((1-Parâmetros!$B$65)*(1-(Parâmetros!$B$61+N31+Parâmetros!$B$78))))))</f>
        <v/>
      </c>
      <c r="T31" s="18">
        <f>IF($B31="","",IF(ISNUMBER(R31),R31*Parâmetros!$B$61,""))</f>
        <v/>
      </c>
      <c r="U31" s="18">
        <f>IF($B31="","",IF(ISNUMBER(R31),R31*N31,""))</f>
        <v/>
      </c>
      <c r="V31" s="18">
        <f>IF($B31="","",IF(ISNUMBER(R31),R31*Parâmetros!$B$78,""))</f>
        <v/>
      </c>
      <c r="W31" s="18">
        <f>IF($B31="","",IF(ISNUMBER(R31),IF(Parâmetros!$B$64=2,R31*Parâmetros!$B$66,Parâmetros!$B$65*(R31-M31-R31*(Parâmetros!$B$61+N31+Parâmetros!$B$78))),""))</f>
        <v/>
      </c>
      <c r="X31" s="11">
        <f>IF($B31="","",IF(ISNUMBER(R31),R31-M31-T31-U31-V31-W31,""))</f>
        <v/>
      </c>
      <c r="Y31" s="19">
        <f>IF($B31="","",IF(AND(ISNUMBER(R31),R31&gt;0),X31/R31,""))</f>
        <v/>
      </c>
      <c r="Z31" s="18">
        <f>IF($B31="","",IF(AND(ISNUMBER(R31),ISNUMBER(G31)),R31-G31,""))</f>
        <v/>
      </c>
      <c r="AA31" s="20">
        <f>IF($B31="","",IF(NOT(ISNUMBER(R31)),"Percentuais ≥ 100%",IF(N(D31)=0,"Sem tempo",IF(J31=0,"Sem materiais",""))))</f>
        <v/>
      </c>
    </row>
    <row r="32">
      <c r="A32" s="7" t="inlineStr">
        <is>
          <t>8.0</t>
        </is>
      </c>
      <c r="B32" s="7" t="inlineStr">
        <is>
          <t>Manutenção ortodontica convencional nac</t>
        </is>
      </c>
      <c r="C32" s="7" t="inlineStr">
        <is>
          <t>Ortodontia</t>
        </is>
      </c>
      <c r="D32" s="7" t="n">
        <v>30</v>
      </c>
      <c r="E32" s="8" t="n">
        <v>0</v>
      </c>
      <c r="F32" s="8" t="n">
        <v>7</v>
      </c>
      <c r="G32" s="8" t="n">
        <v>120</v>
      </c>
      <c r="H32" s="13" t="n"/>
      <c r="I32" s="13" t="n"/>
      <c r="J32" s="18">
        <f>IF($B32="","",SUMIFS(Itens!$E$2:$E$158,Itens!$A$2:$A$158,$B32)+N(F32))</f>
        <v/>
      </c>
      <c r="K32" s="18">
        <f>IF($B32="","",N(D32)/60*Parâmetros!$B$57)</f>
        <v/>
      </c>
      <c r="L32" s="18">
        <f>IF($B32="","",N(D32)/60*Parâmetros!$B$60)</f>
        <v/>
      </c>
      <c r="M32" s="11">
        <f>IF($B32="","",J32+N(E32)+K32+L32)</f>
        <v/>
      </c>
      <c r="N32" s="19">
        <f>IF($B32="","",IF(H32="",Parâmetros!$B$62,H32))</f>
        <v/>
      </c>
      <c r="O32" s="19">
        <f>IF($B32="","",IF(I32="",Parâmetros!$B$63,I32))</f>
        <v/>
      </c>
      <c r="P32" s="18">
        <f>IF($B32="","",IF(1-(Parâmetros!$B$61+N32+Parâmetros!$B$78)-Parâmetros!$B$66-O32&lt;=0,"ERRO",M32/(1-(Parâmetros!$B$61+N32+Parâmetros!$B$78)-Parâmetros!$B$66-O32)))</f>
        <v/>
      </c>
      <c r="Q32" s="18">
        <f>IF($B32="","",IF((1-Parâmetros!$B$65)*(1-(Parâmetros!$B$61+N32+Parâmetros!$B$78))-O32&lt;=0,"ERRO",(1-Parâmetros!$B$65)*M32/((1-Parâmetros!$B$65)*(1-(Parâmetros!$B$61+N32+Parâmetros!$B$78))-O32)))</f>
        <v/>
      </c>
      <c r="R32" s="11">
        <f>IF($B32="","",IF(Parâmetros!$B$64=2,P32,Q32))</f>
        <v/>
      </c>
      <c r="S32" s="18">
        <f>IF($B32="","",IF(Parâmetros!$B$64=2,IF(1-(Parâmetros!$B$61+N32+Parâmetros!$B$78)-Parâmetros!$B$66&lt;=0,"ERRO",M32/(1-(Parâmetros!$B$61+N32+Parâmetros!$B$78)-Parâmetros!$B$66)),IF((1-Parâmetros!$B$65)*(1-(Parâmetros!$B$61+N32+Parâmetros!$B$78))&lt;=0,"ERRO",(1-Parâmetros!$B$65)*M32/((1-Parâmetros!$B$65)*(1-(Parâmetros!$B$61+N32+Parâmetros!$B$78))))))</f>
        <v/>
      </c>
      <c r="T32" s="18">
        <f>IF($B32="","",IF(ISNUMBER(R32),R32*Parâmetros!$B$61,""))</f>
        <v/>
      </c>
      <c r="U32" s="18">
        <f>IF($B32="","",IF(ISNUMBER(R32),R32*N32,""))</f>
        <v/>
      </c>
      <c r="V32" s="18">
        <f>IF($B32="","",IF(ISNUMBER(R32),R32*Parâmetros!$B$78,""))</f>
        <v/>
      </c>
      <c r="W32" s="18">
        <f>IF($B32="","",IF(ISNUMBER(R32),IF(Parâmetros!$B$64=2,R32*Parâmetros!$B$66,Parâmetros!$B$65*(R32-M32-R32*(Parâmetros!$B$61+N32+Parâmetros!$B$78))),""))</f>
        <v/>
      </c>
      <c r="X32" s="11">
        <f>IF($B32="","",IF(ISNUMBER(R32),R32-M32-T32-U32-V32-W32,""))</f>
        <v/>
      </c>
      <c r="Y32" s="19">
        <f>IF($B32="","",IF(AND(ISNUMBER(R32),R32&gt;0),X32/R32,""))</f>
        <v/>
      </c>
      <c r="Z32" s="18">
        <f>IF($B32="","",IF(AND(ISNUMBER(R32),ISNUMBER(G32)),R32-G32,""))</f>
        <v/>
      </c>
      <c r="AA32" s="20">
        <f>IF($B32="","",IF(NOT(ISNUMBER(R32)),"Percentuais ≥ 100%",IF(N(D32)=0,"Sem tempo",IF(J32=0,"Sem materiais",""))))</f>
        <v/>
      </c>
    </row>
    <row r="33">
      <c r="A33" s="7" t="inlineStr">
        <is>
          <t>8.1</t>
        </is>
      </c>
      <c r="B33" s="7" t="inlineStr">
        <is>
          <t>Manutenção ortodontica convencional imp</t>
        </is>
      </c>
      <c r="C33" s="7" t="inlineStr">
        <is>
          <t>Ortodontia</t>
        </is>
      </c>
      <c r="D33" s="7" t="n">
        <v>30</v>
      </c>
      <c r="E33" s="8" t="n">
        <v>0</v>
      </c>
      <c r="F33" s="8" t="n">
        <v>7.5</v>
      </c>
      <c r="G33" s="8" t="n">
        <v>120</v>
      </c>
      <c r="H33" s="13" t="n"/>
      <c r="I33" s="13" t="n"/>
      <c r="J33" s="18">
        <f>IF($B33="","",SUMIFS(Itens!$E$2:$E$158,Itens!$A$2:$A$158,$B33)+N(F33))</f>
        <v/>
      </c>
      <c r="K33" s="18">
        <f>IF($B33="","",N(D33)/60*Parâmetros!$B$57)</f>
        <v/>
      </c>
      <c r="L33" s="18">
        <f>IF($B33="","",N(D33)/60*Parâmetros!$B$60)</f>
        <v/>
      </c>
      <c r="M33" s="11">
        <f>IF($B33="","",J33+N(E33)+K33+L33)</f>
        <v/>
      </c>
      <c r="N33" s="19">
        <f>IF($B33="","",IF(H33="",Parâmetros!$B$62,H33))</f>
        <v/>
      </c>
      <c r="O33" s="19">
        <f>IF($B33="","",IF(I33="",Parâmetros!$B$63,I33))</f>
        <v/>
      </c>
      <c r="P33" s="18">
        <f>IF($B33="","",IF(1-(Parâmetros!$B$61+N33+Parâmetros!$B$78)-Parâmetros!$B$66-O33&lt;=0,"ERRO",M33/(1-(Parâmetros!$B$61+N33+Parâmetros!$B$78)-Parâmetros!$B$66-O33)))</f>
        <v/>
      </c>
      <c r="Q33" s="18">
        <f>IF($B33="","",IF((1-Parâmetros!$B$65)*(1-(Parâmetros!$B$61+N33+Parâmetros!$B$78))-O33&lt;=0,"ERRO",(1-Parâmetros!$B$65)*M33/((1-Parâmetros!$B$65)*(1-(Parâmetros!$B$61+N33+Parâmetros!$B$78))-O33)))</f>
        <v/>
      </c>
      <c r="R33" s="11">
        <f>IF($B33="","",IF(Parâmetros!$B$64=2,P33,Q33))</f>
        <v/>
      </c>
      <c r="S33" s="18">
        <f>IF($B33="","",IF(Parâmetros!$B$64=2,IF(1-(Parâmetros!$B$61+N33+Parâmetros!$B$78)-Parâmetros!$B$66&lt;=0,"ERRO",M33/(1-(Parâmetros!$B$61+N33+Parâmetros!$B$78)-Parâmetros!$B$66)),IF((1-Parâmetros!$B$65)*(1-(Parâmetros!$B$61+N33+Parâmetros!$B$78))&lt;=0,"ERRO",(1-Parâmetros!$B$65)*M33/((1-Parâmetros!$B$65)*(1-(Parâmetros!$B$61+N33+Parâmetros!$B$78))))))</f>
        <v/>
      </c>
      <c r="T33" s="18">
        <f>IF($B33="","",IF(ISNUMBER(R33),R33*Parâmetros!$B$61,""))</f>
        <v/>
      </c>
      <c r="U33" s="18">
        <f>IF($B33="","",IF(ISNUMBER(R33),R33*N33,""))</f>
        <v/>
      </c>
      <c r="V33" s="18">
        <f>IF($B33="","",IF(ISNUMBER(R33),R33*Parâmetros!$B$78,""))</f>
        <v/>
      </c>
      <c r="W33" s="18">
        <f>IF($B33="","",IF(ISNUMBER(R33),IF(Parâmetros!$B$64=2,R33*Parâmetros!$B$66,Parâmetros!$B$65*(R33-M33-R33*(Parâmetros!$B$61+N33+Parâmetros!$B$78))),""))</f>
        <v/>
      </c>
      <c r="X33" s="11">
        <f>IF($B33="","",IF(ISNUMBER(R33),R33-M33-T33-U33-V33-W33,""))</f>
        <v/>
      </c>
      <c r="Y33" s="19">
        <f>IF($B33="","",IF(AND(ISNUMBER(R33),R33&gt;0),X33/R33,""))</f>
        <v/>
      </c>
      <c r="Z33" s="18">
        <f>IF($B33="","",IF(AND(ISNUMBER(R33),ISNUMBER(G33)),R33-G33,""))</f>
        <v/>
      </c>
      <c r="AA33" s="20">
        <f>IF($B33="","",IF(NOT(ISNUMBER(R33)),"Percentuais ≥ 100%",IF(N(D33)=0,"Sem tempo",IF(J33=0,"Sem materiais",""))))</f>
        <v/>
      </c>
    </row>
    <row r="34">
      <c r="A34" s="7" t="inlineStr">
        <is>
          <t>8.2</t>
        </is>
      </c>
      <c r="B34" s="7" t="inlineStr">
        <is>
          <t>Manutenção ortodontica autoligado metálico</t>
        </is>
      </c>
      <c r="C34" s="7" t="inlineStr">
        <is>
          <t>Ortodontia</t>
        </is>
      </c>
      <c r="D34" s="7" t="n">
        <v>30</v>
      </c>
      <c r="E34" s="8" t="n">
        <v>0</v>
      </c>
      <c r="F34" s="8" t="n">
        <v>20</v>
      </c>
      <c r="G34" s="8" t="n">
        <v>220</v>
      </c>
      <c r="H34" s="13" t="n"/>
      <c r="I34" s="13" t="n"/>
      <c r="J34" s="18">
        <f>IF($B34="","",SUMIFS(Itens!$E$2:$E$158,Itens!$A$2:$A$158,$B34)+N(F34))</f>
        <v/>
      </c>
      <c r="K34" s="18">
        <f>IF($B34="","",N(D34)/60*Parâmetros!$B$57)</f>
        <v/>
      </c>
      <c r="L34" s="18">
        <f>IF($B34="","",N(D34)/60*Parâmetros!$B$60)</f>
        <v/>
      </c>
      <c r="M34" s="11">
        <f>IF($B34="","",J34+N(E34)+K34+L34)</f>
        <v/>
      </c>
      <c r="N34" s="19">
        <f>IF($B34="","",IF(H34="",Parâmetros!$B$62,H34))</f>
        <v/>
      </c>
      <c r="O34" s="19">
        <f>IF($B34="","",IF(I34="",Parâmetros!$B$63,I34))</f>
        <v/>
      </c>
      <c r="P34" s="18">
        <f>IF($B34="","",IF(1-(Parâmetros!$B$61+N34+Parâmetros!$B$78)-Parâmetros!$B$66-O34&lt;=0,"ERRO",M34/(1-(Parâmetros!$B$61+N34+Parâmetros!$B$78)-Parâmetros!$B$66-O34)))</f>
        <v/>
      </c>
      <c r="Q34" s="18">
        <f>IF($B34="","",IF((1-Parâmetros!$B$65)*(1-(Parâmetros!$B$61+N34+Parâmetros!$B$78))-O34&lt;=0,"ERRO",(1-Parâmetros!$B$65)*M34/((1-Parâmetros!$B$65)*(1-(Parâmetros!$B$61+N34+Parâmetros!$B$78))-O34)))</f>
        <v/>
      </c>
      <c r="R34" s="11">
        <f>IF($B34="","",IF(Parâmetros!$B$64=2,P34,Q34))</f>
        <v/>
      </c>
      <c r="S34" s="18">
        <f>IF($B34="","",IF(Parâmetros!$B$64=2,IF(1-(Parâmetros!$B$61+N34+Parâmetros!$B$78)-Parâmetros!$B$66&lt;=0,"ERRO",M34/(1-(Parâmetros!$B$61+N34+Parâmetros!$B$78)-Parâmetros!$B$66)),IF((1-Parâmetros!$B$65)*(1-(Parâmetros!$B$61+N34+Parâmetros!$B$78))&lt;=0,"ERRO",(1-Parâmetros!$B$65)*M34/((1-Parâmetros!$B$65)*(1-(Parâmetros!$B$61+N34+Parâmetros!$B$78))))))</f>
        <v/>
      </c>
      <c r="T34" s="18">
        <f>IF($B34="","",IF(ISNUMBER(R34),R34*Parâmetros!$B$61,""))</f>
        <v/>
      </c>
      <c r="U34" s="18">
        <f>IF($B34="","",IF(ISNUMBER(R34),R34*N34,""))</f>
        <v/>
      </c>
      <c r="V34" s="18">
        <f>IF($B34="","",IF(ISNUMBER(R34),R34*Parâmetros!$B$78,""))</f>
        <v/>
      </c>
      <c r="W34" s="18">
        <f>IF($B34="","",IF(ISNUMBER(R34),IF(Parâmetros!$B$64=2,R34*Parâmetros!$B$66,Parâmetros!$B$65*(R34-M34-R34*(Parâmetros!$B$61+N34+Parâmetros!$B$78))),""))</f>
        <v/>
      </c>
      <c r="X34" s="11">
        <f>IF($B34="","",IF(ISNUMBER(R34),R34-M34-T34-U34-V34-W34,""))</f>
        <v/>
      </c>
      <c r="Y34" s="19">
        <f>IF($B34="","",IF(AND(ISNUMBER(R34),R34&gt;0),X34/R34,""))</f>
        <v/>
      </c>
      <c r="Z34" s="18">
        <f>IF($B34="","",IF(AND(ISNUMBER(R34),ISNUMBER(G34)),R34-G34,""))</f>
        <v/>
      </c>
      <c r="AA34" s="20">
        <f>IF($B34="","",IF(NOT(ISNUMBER(R34)),"Percentuais ≥ 100%",IF(N(D34)=0,"Sem tempo",IF(J34=0,"Sem materiais",""))))</f>
        <v/>
      </c>
    </row>
    <row r="35">
      <c r="A35" s="7" t="inlineStr">
        <is>
          <t>8.3</t>
        </is>
      </c>
      <c r="B35" s="7" t="inlineStr">
        <is>
          <t>Manutenção ortodontica safira</t>
        </is>
      </c>
      <c r="C35" s="7" t="inlineStr">
        <is>
          <t>Ortodontia</t>
        </is>
      </c>
      <c r="D35" s="7" t="n">
        <v>30</v>
      </c>
      <c r="E35" s="8" t="n">
        <v>0</v>
      </c>
      <c r="F35" s="8" t="n">
        <v>60</v>
      </c>
      <c r="G35" s="8" t="n">
        <v>260</v>
      </c>
      <c r="H35" s="13" t="n"/>
      <c r="I35" s="13" t="n"/>
      <c r="J35" s="18">
        <f>IF($B35="","",SUMIFS(Itens!$E$2:$E$158,Itens!$A$2:$A$158,$B35)+N(F35))</f>
        <v/>
      </c>
      <c r="K35" s="18">
        <f>IF($B35="","",N(D35)/60*Parâmetros!$B$57)</f>
        <v/>
      </c>
      <c r="L35" s="18">
        <f>IF($B35="","",N(D35)/60*Parâmetros!$B$60)</f>
        <v/>
      </c>
      <c r="M35" s="11">
        <f>IF($B35="","",J35+N(E35)+K35+L35)</f>
        <v/>
      </c>
      <c r="N35" s="19">
        <f>IF($B35="","",IF(H35="",Parâmetros!$B$62,H35))</f>
        <v/>
      </c>
      <c r="O35" s="19">
        <f>IF($B35="","",IF(I35="",Parâmetros!$B$63,I35))</f>
        <v/>
      </c>
      <c r="P35" s="18">
        <f>IF($B35="","",IF(1-(Parâmetros!$B$61+N35+Parâmetros!$B$78)-Parâmetros!$B$66-O35&lt;=0,"ERRO",M35/(1-(Parâmetros!$B$61+N35+Parâmetros!$B$78)-Parâmetros!$B$66-O35)))</f>
        <v/>
      </c>
      <c r="Q35" s="18">
        <f>IF($B35="","",IF((1-Parâmetros!$B$65)*(1-(Parâmetros!$B$61+N35+Parâmetros!$B$78))-O35&lt;=0,"ERRO",(1-Parâmetros!$B$65)*M35/((1-Parâmetros!$B$65)*(1-(Parâmetros!$B$61+N35+Parâmetros!$B$78))-O35)))</f>
        <v/>
      </c>
      <c r="R35" s="11">
        <f>IF($B35="","",IF(Parâmetros!$B$64=2,P35,Q35))</f>
        <v/>
      </c>
      <c r="S35" s="18">
        <f>IF($B35="","",IF(Parâmetros!$B$64=2,IF(1-(Parâmetros!$B$61+N35+Parâmetros!$B$78)-Parâmetros!$B$66&lt;=0,"ERRO",M35/(1-(Parâmetros!$B$61+N35+Parâmetros!$B$78)-Parâmetros!$B$66)),IF((1-Parâmetros!$B$65)*(1-(Parâmetros!$B$61+N35+Parâmetros!$B$78))&lt;=0,"ERRO",(1-Parâmetros!$B$65)*M35/((1-Parâmetros!$B$65)*(1-(Parâmetros!$B$61+N35+Parâmetros!$B$78))))))</f>
        <v/>
      </c>
      <c r="T35" s="18">
        <f>IF($B35="","",IF(ISNUMBER(R35),R35*Parâmetros!$B$61,""))</f>
        <v/>
      </c>
      <c r="U35" s="18">
        <f>IF($B35="","",IF(ISNUMBER(R35),R35*N35,""))</f>
        <v/>
      </c>
      <c r="V35" s="18">
        <f>IF($B35="","",IF(ISNUMBER(R35),R35*Parâmetros!$B$78,""))</f>
        <v/>
      </c>
      <c r="W35" s="18">
        <f>IF($B35="","",IF(ISNUMBER(R35),IF(Parâmetros!$B$64=2,R35*Parâmetros!$B$66,Parâmetros!$B$65*(R35-M35-R35*(Parâmetros!$B$61+N35+Parâmetros!$B$78))),""))</f>
        <v/>
      </c>
      <c r="X35" s="11">
        <f>IF($B35="","",IF(ISNUMBER(R35),R35-M35-T35-U35-V35-W35,""))</f>
        <v/>
      </c>
      <c r="Y35" s="19">
        <f>IF($B35="","",IF(AND(ISNUMBER(R35),R35&gt;0),X35/R35,""))</f>
        <v/>
      </c>
      <c r="Z35" s="18">
        <f>IF($B35="","",IF(AND(ISNUMBER(R35),ISNUMBER(G35)),R35-G35,""))</f>
        <v/>
      </c>
      <c r="AA35" s="20">
        <f>IF($B35="","",IF(NOT(ISNUMBER(R35)),"Percentuais ≥ 100%",IF(N(D35)=0,"Sem tempo",IF(J35=0,"Sem materiais",""))))</f>
        <v/>
      </c>
    </row>
    <row r="36">
      <c r="A36" s="7" t="inlineStr">
        <is>
          <t>9.0</t>
        </is>
      </c>
      <c r="B36" s="7" t="inlineStr">
        <is>
          <t>Instalação aparelho metálico conv nacional</t>
        </is>
      </c>
      <c r="C36" s="7" t="inlineStr">
        <is>
          <t>Ortodontia</t>
        </is>
      </c>
      <c r="D36" s="7" t="n">
        <v>90</v>
      </c>
      <c r="E36" s="8" t="n">
        <v>0</v>
      </c>
      <c r="F36" s="8" t="n">
        <v>36.78</v>
      </c>
      <c r="G36" s="8" t="n">
        <v>450</v>
      </c>
      <c r="H36" s="13" t="n"/>
      <c r="I36" s="13" t="n"/>
      <c r="J36" s="18">
        <f>IF($B36="","",SUMIFS(Itens!$E$2:$E$158,Itens!$A$2:$A$158,$B36)+N(F36))</f>
        <v/>
      </c>
      <c r="K36" s="18">
        <f>IF($B36="","",N(D36)/60*Parâmetros!$B$57)</f>
        <v/>
      </c>
      <c r="L36" s="18">
        <f>IF($B36="","",N(D36)/60*Parâmetros!$B$60)</f>
        <v/>
      </c>
      <c r="M36" s="11">
        <f>IF($B36="","",J36+N(E36)+K36+L36)</f>
        <v/>
      </c>
      <c r="N36" s="19">
        <f>IF($B36="","",IF(H36="",Parâmetros!$B$62,H36))</f>
        <v/>
      </c>
      <c r="O36" s="19">
        <f>IF($B36="","",IF(I36="",Parâmetros!$B$63,I36))</f>
        <v/>
      </c>
      <c r="P36" s="18">
        <f>IF($B36="","",IF(1-(Parâmetros!$B$61+N36+Parâmetros!$B$78)-Parâmetros!$B$66-O36&lt;=0,"ERRO",M36/(1-(Parâmetros!$B$61+N36+Parâmetros!$B$78)-Parâmetros!$B$66-O36)))</f>
        <v/>
      </c>
      <c r="Q36" s="18">
        <f>IF($B36="","",IF((1-Parâmetros!$B$65)*(1-(Parâmetros!$B$61+N36+Parâmetros!$B$78))-O36&lt;=0,"ERRO",(1-Parâmetros!$B$65)*M36/((1-Parâmetros!$B$65)*(1-(Parâmetros!$B$61+N36+Parâmetros!$B$78))-O36)))</f>
        <v/>
      </c>
      <c r="R36" s="11">
        <f>IF($B36="","",IF(Parâmetros!$B$64=2,P36,Q36))</f>
        <v/>
      </c>
      <c r="S36" s="18">
        <f>IF($B36="","",IF(Parâmetros!$B$64=2,IF(1-(Parâmetros!$B$61+N36+Parâmetros!$B$78)-Parâmetros!$B$66&lt;=0,"ERRO",M36/(1-(Parâmetros!$B$61+N36+Parâmetros!$B$78)-Parâmetros!$B$66)),IF((1-Parâmetros!$B$65)*(1-(Parâmetros!$B$61+N36+Parâmetros!$B$78))&lt;=0,"ERRO",(1-Parâmetros!$B$65)*M36/((1-Parâmetros!$B$65)*(1-(Parâmetros!$B$61+N36+Parâmetros!$B$78))))))</f>
        <v/>
      </c>
      <c r="T36" s="18">
        <f>IF($B36="","",IF(ISNUMBER(R36),R36*Parâmetros!$B$61,""))</f>
        <v/>
      </c>
      <c r="U36" s="18">
        <f>IF($B36="","",IF(ISNUMBER(R36),R36*N36,""))</f>
        <v/>
      </c>
      <c r="V36" s="18">
        <f>IF($B36="","",IF(ISNUMBER(R36),R36*Parâmetros!$B$78,""))</f>
        <v/>
      </c>
      <c r="W36" s="18">
        <f>IF($B36="","",IF(ISNUMBER(R36),IF(Parâmetros!$B$64=2,R36*Parâmetros!$B$66,Parâmetros!$B$65*(R36-M36-R36*(Parâmetros!$B$61+N36+Parâmetros!$B$78))),""))</f>
        <v/>
      </c>
      <c r="X36" s="11">
        <f>IF($B36="","",IF(ISNUMBER(R36),R36-M36-T36-U36-V36-W36,""))</f>
        <v/>
      </c>
      <c r="Y36" s="19">
        <f>IF($B36="","",IF(AND(ISNUMBER(R36),R36&gt;0),X36/R36,""))</f>
        <v/>
      </c>
      <c r="Z36" s="18">
        <f>IF($B36="","",IF(AND(ISNUMBER(R36),ISNUMBER(G36)),R36-G36,""))</f>
        <v/>
      </c>
      <c r="AA36" s="20">
        <f>IF($B36="","",IF(NOT(ISNUMBER(R36)),"Percentuais ≥ 100%",IF(N(D36)=0,"Sem tempo",IF(J36=0,"Sem materiais",""))))</f>
        <v/>
      </c>
    </row>
    <row r="37">
      <c r="A37" s="7" t="inlineStr">
        <is>
          <t>9.1</t>
        </is>
      </c>
      <c r="B37" s="7" t="inlineStr">
        <is>
          <t>Instalação aparelho metálico conv importado</t>
        </is>
      </c>
      <c r="C37" s="7" t="inlineStr">
        <is>
          <t>Ortodontia</t>
        </is>
      </c>
      <c r="D37" s="7" t="n">
        <v>90</v>
      </c>
      <c r="E37" s="8" t="n">
        <v>0</v>
      </c>
      <c r="F37" s="8" t="n">
        <v>39.78</v>
      </c>
      <c r="G37" s="8" t="n">
        <v>700</v>
      </c>
      <c r="H37" s="13" t="n"/>
      <c r="I37" s="13" t="n"/>
      <c r="J37" s="18">
        <f>IF($B37="","",SUMIFS(Itens!$E$2:$E$158,Itens!$A$2:$A$158,$B37)+N(F37))</f>
        <v/>
      </c>
      <c r="K37" s="18">
        <f>IF($B37="","",N(D37)/60*Parâmetros!$B$57)</f>
        <v/>
      </c>
      <c r="L37" s="18">
        <f>IF($B37="","",N(D37)/60*Parâmetros!$B$60)</f>
        <v/>
      </c>
      <c r="M37" s="11">
        <f>IF($B37="","",J37+N(E37)+K37+L37)</f>
        <v/>
      </c>
      <c r="N37" s="19">
        <f>IF($B37="","",IF(H37="",Parâmetros!$B$62,H37))</f>
        <v/>
      </c>
      <c r="O37" s="19">
        <f>IF($B37="","",IF(I37="",Parâmetros!$B$63,I37))</f>
        <v/>
      </c>
      <c r="P37" s="18">
        <f>IF($B37="","",IF(1-(Parâmetros!$B$61+N37+Parâmetros!$B$78)-Parâmetros!$B$66-O37&lt;=0,"ERRO",M37/(1-(Parâmetros!$B$61+N37+Parâmetros!$B$78)-Parâmetros!$B$66-O37)))</f>
        <v/>
      </c>
      <c r="Q37" s="18">
        <f>IF($B37="","",IF((1-Parâmetros!$B$65)*(1-(Parâmetros!$B$61+N37+Parâmetros!$B$78))-O37&lt;=0,"ERRO",(1-Parâmetros!$B$65)*M37/((1-Parâmetros!$B$65)*(1-(Parâmetros!$B$61+N37+Parâmetros!$B$78))-O37)))</f>
        <v/>
      </c>
      <c r="R37" s="11">
        <f>IF($B37="","",IF(Parâmetros!$B$64=2,P37,Q37))</f>
        <v/>
      </c>
      <c r="S37" s="18">
        <f>IF($B37="","",IF(Parâmetros!$B$64=2,IF(1-(Parâmetros!$B$61+N37+Parâmetros!$B$78)-Parâmetros!$B$66&lt;=0,"ERRO",M37/(1-(Parâmetros!$B$61+N37+Parâmetros!$B$78)-Parâmetros!$B$66)),IF((1-Parâmetros!$B$65)*(1-(Parâmetros!$B$61+N37+Parâmetros!$B$78))&lt;=0,"ERRO",(1-Parâmetros!$B$65)*M37/((1-Parâmetros!$B$65)*(1-(Parâmetros!$B$61+N37+Parâmetros!$B$78))))))</f>
        <v/>
      </c>
      <c r="T37" s="18">
        <f>IF($B37="","",IF(ISNUMBER(R37),R37*Parâmetros!$B$61,""))</f>
        <v/>
      </c>
      <c r="U37" s="18">
        <f>IF($B37="","",IF(ISNUMBER(R37),R37*N37,""))</f>
        <v/>
      </c>
      <c r="V37" s="18">
        <f>IF($B37="","",IF(ISNUMBER(R37),R37*Parâmetros!$B$78,""))</f>
        <v/>
      </c>
      <c r="W37" s="18">
        <f>IF($B37="","",IF(ISNUMBER(R37),IF(Parâmetros!$B$64=2,R37*Parâmetros!$B$66,Parâmetros!$B$65*(R37-M37-R37*(Parâmetros!$B$61+N37+Parâmetros!$B$78))),""))</f>
        <v/>
      </c>
      <c r="X37" s="11">
        <f>IF($B37="","",IF(ISNUMBER(R37),R37-M37-T37-U37-V37-W37,""))</f>
        <v/>
      </c>
      <c r="Y37" s="19">
        <f>IF($B37="","",IF(AND(ISNUMBER(R37),R37&gt;0),X37/R37,""))</f>
        <v/>
      </c>
      <c r="Z37" s="18">
        <f>IF($B37="","",IF(AND(ISNUMBER(R37),ISNUMBER(G37)),R37-G37,""))</f>
        <v/>
      </c>
      <c r="AA37" s="20">
        <f>IF($B37="","",IF(NOT(ISNUMBER(R37)),"Percentuais ≥ 100%",IF(N(D37)=0,"Sem tempo",IF(J37=0,"Sem materiais",""))))</f>
        <v/>
      </c>
    </row>
    <row r="38">
      <c r="A38" s="7" t="inlineStr">
        <is>
          <t>9.2</t>
        </is>
      </c>
      <c r="B38" s="7" t="inlineStr">
        <is>
          <t>Instalação aparelho autoligado metálico</t>
        </is>
      </c>
      <c r="C38" s="7" t="inlineStr">
        <is>
          <t>Ortodontia</t>
        </is>
      </c>
      <c r="D38" s="7" t="n">
        <v>90</v>
      </c>
      <c r="E38" s="8" t="n">
        <v>0</v>
      </c>
      <c r="F38" s="8" t="n">
        <v>297.48</v>
      </c>
      <c r="G38" s="8" t="n">
        <v>1200</v>
      </c>
      <c r="H38" s="13" t="n"/>
      <c r="I38" s="13" t="n"/>
      <c r="J38" s="18">
        <f>IF($B38="","",SUMIFS(Itens!$E$2:$E$158,Itens!$A$2:$A$158,$B38)+N(F38))</f>
        <v/>
      </c>
      <c r="K38" s="18">
        <f>IF($B38="","",N(D38)/60*Parâmetros!$B$57)</f>
        <v/>
      </c>
      <c r="L38" s="18">
        <f>IF($B38="","",N(D38)/60*Parâmetros!$B$60)</f>
        <v/>
      </c>
      <c r="M38" s="11">
        <f>IF($B38="","",J38+N(E38)+K38+L38)</f>
        <v/>
      </c>
      <c r="N38" s="19">
        <f>IF($B38="","",IF(H38="",Parâmetros!$B$62,H38))</f>
        <v/>
      </c>
      <c r="O38" s="19">
        <f>IF($B38="","",IF(I38="",Parâmetros!$B$63,I38))</f>
        <v/>
      </c>
      <c r="P38" s="18">
        <f>IF($B38="","",IF(1-(Parâmetros!$B$61+N38+Parâmetros!$B$78)-Parâmetros!$B$66-O38&lt;=0,"ERRO",M38/(1-(Parâmetros!$B$61+N38+Parâmetros!$B$78)-Parâmetros!$B$66-O38)))</f>
        <v/>
      </c>
      <c r="Q38" s="18">
        <f>IF($B38="","",IF((1-Parâmetros!$B$65)*(1-(Parâmetros!$B$61+N38+Parâmetros!$B$78))-O38&lt;=0,"ERRO",(1-Parâmetros!$B$65)*M38/((1-Parâmetros!$B$65)*(1-(Parâmetros!$B$61+N38+Parâmetros!$B$78))-O38)))</f>
        <v/>
      </c>
      <c r="R38" s="11">
        <f>IF($B38="","",IF(Parâmetros!$B$64=2,P38,Q38))</f>
        <v/>
      </c>
      <c r="S38" s="18">
        <f>IF($B38="","",IF(Parâmetros!$B$64=2,IF(1-(Parâmetros!$B$61+N38+Parâmetros!$B$78)-Parâmetros!$B$66&lt;=0,"ERRO",M38/(1-(Parâmetros!$B$61+N38+Parâmetros!$B$78)-Parâmetros!$B$66)),IF((1-Parâmetros!$B$65)*(1-(Parâmetros!$B$61+N38+Parâmetros!$B$78))&lt;=0,"ERRO",(1-Parâmetros!$B$65)*M38/((1-Parâmetros!$B$65)*(1-(Parâmetros!$B$61+N38+Parâmetros!$B$78))))))</f>
        <v/>
      </c>
      <c r="T38" s="18">
        <f>IF($B38="","",IF(ISNUMBER(R38),R38*Parâmetros!$B$61,""))</f>
        <v/>
      </c>
      <c r="U38" s="18">
        <f>IF($B38="","",IF(ISNUMBER(R38),R38*N38,""))</f>
        <v/>
      </c>
      <c r="V38" s="18">
        <f>IF($B38="","",IF(ISNUMBER(R38),R38*Parâmetros!$B$78,""))</f>
        <v/>
      </c>
      <c r="W38" s="18">
        <f>IF($B38="","",IF(ISNUMBER(R38),IF(Parâmetros!$B$64=2,R38*Parâmetros!$B$66,Parâmetros!$B$65*(R38-M38-R38*(Parâmetros!$B$61+N38+Parâmetros!$B$78))),""))</f>
        <v/>
      </c>
      <c r="X38" s="11">
        <f>IF($B38="","",IF(ISNUMBER(R38),R38-M38-T38-U38-V38-W38,""))</f>
        <v/>
      </c>
      <c r="Y38" s="19">
        <f>IF($B38="","",IF(AND(ISNUMBER(R38),R38&gt;0),X38/R38,""))</f>
        <v/>
      </c>
      <c r="Z38" s="18">
        <f>IF($B38="","",IF(AND(ISNUMBER(R38),ISNUMBER(G38)),R38-G38,""))</f>
        <v/>
      </c>
      <c r="AA38" s="20">
        <f>IF($B38="","",IF(NOT(ISNUMBER(R38)),"Percentuais ≥ 100%",IF(N(D38)=0,"Sem tempo",IF(J38=0,"Sem materiais",""))))</f>
        <v/>
      </c>
    </row>
    <row r="39">
      <c r="A39" s="7" t="inlineStr">
        <is>
          <t>9.3</t>
        </is>
      </c>
      <c r="B39" s="7" t="inlineStr">
        <is>
          <t>Instalação aparelho safira</t>
        </is>
      </c>
      <c r="C39" s="7" t="inlineStr">
        <is>
          <t>Ortodontia</t>
        </is>
      </c>
      <c r="D39" s="7" t="n">
        <v>90</v>
      </c>
      <c r="E39" s="8" t="n">
        <v>0</v>
      </c>
      <c r="F39" s="8" t="n">
        <v>808.78</v>
      </c>
      <c r="G39" s="8" t="n">
        <v>2600</v>
      </c>
      <c r="H39" s="13" t="n"/>
      <c r="I39" s="13" t="n"/>
      <c r="J39" s="18">
        <f>IF($B39="","",SUMIFS(Itens!$E$2:$E$158,Itens!$A$2:$A$158,$B39)+N(F39))</f>
        <v/>
      </c>
      <c r="K39" s="18">
        <f>IF($B39="","",N(D39)/60*Parâmetros!$B$57)</f>
        <v/>
      </c>
      <c r="L39" s="18">
        <f>IF($B39="","",N(D39)/60*Parâmetros!$B$60)</f>
        <v/>
      </c>
      <c r="M39" s="11">
        <f>IF($B39="","",J39+N(E39)+K39+L39)</f>
        <v/>
      </c>
      <c r="N39" s="19">
        <f>IF($B39="","",IF(H39="",Parâmetros!$B$62,H39))</f>
        <v/>
      </c>
      <c r="O39" s="19">
        <f>IF($B39="","",IF(I39="",Parâmetros!$B$63,I39))</f>
        <v/>
      </c>
      <c r="P39" s="18">
        <f>IF($B39="","",IF(1-(Parâmetros!$B$61+N39+Parâmetros!$B$78)-Parâmetros!$B$66-O39&lt;=0,"ERRO",M39/(1-(Parâmetros!$B$61+N39+Parâmetros!$B$78)-Parâmetros!$B$66-O39)))</f>
        <v/>
      </c>
      <c r="Q39" s="18">
        <f>IF($B39="","",IF((1-Parâmetros!$B$65)*(1-(Parâmetros!$B$61+N39+Parâmetros!$B$78))-O39&lt;=0,"ERRO",(1-Parâmetros!$B$65)*M39/((1-Parâmetros!$B$65)*(1-(Parâmetros!$B$61+N39+Parâmetros!$B$78))-O39)))</f>
        <v/>
      </c>
      <c r="R39" s="11">
        <f>IF($B39="","",IF(Parâmetros!$B$64=2,P39,Q39))</f>
        <v/>
      </c>
      <c r="S39" s="18">
        <f>IF($B39="","",IF(Parâmetros!$B$64=2,IF(1-(Parâmetros!$B$61+N39+Parâmetros!$B$78)-Parâmetros!$B$66&lt;=0,"ERRO",M39/(1-(Parâmetros!$B$61+N39+Parâmetros!$B$78)-Parâmetros!$B$66)),IF((1-Parâmetros!$B$65)*(1-(Parâmetros!$B$61+N39+Parâmetros!$B$78))&lt;=0,"ERRO",(1-Parâmetros!$B$65)*M39/((1-Parâmetros!$B$65)*(1-(Parâmetros!$B$61+N39+Parâmetros!$B$78))))))</f>
        <v/>
      </c>
      <c r="T39" s="18">
        <f>IF($B39="","",IF(ISNUMBER(R39),R39*Parâmetros!$B$61,""))</f>
        <v/>
      </c>
      <c r="U39" s="18">
        <f>IF($B39="","",IF(ISNUMBER(R39),R39*N39,""))</f>
        <v/>
      </c>
      <c r="V39" s="18">
        <f>IF($B39="","",IF(ISNUMBER(R39),R39*Parâmetros!$B$78,""))</f>
        <v/>
      </c>
      <c r="W39" s="18">
        <f>IF($B39="","",IF(ISNUMBER(R39),IF(Parâmetros!$B$64=2,R39*Parâmetros!$B$66,Parâmetros!$B$65*(R39-M39-R39*(Parâmetros!$B$61+N39+Parâmetros!$B$78))),""))</f>
        <v/>
      </c>
      <c r="X39" s="11">
        <f>IF($B39="","",IF(ISNUMBER(R39),R39-M39-T39-U39-V39-W39,""))</f>
        <v/>
      </c>
      <c r="Y39" s="19">
        <f>IF($B39="","",IF(AND(ISNUMBER(R39),R39&gt;0),X39/R39,""))</f>
        <v/>
      </c>
      <c r="Z39" s="18">
        <f>IF($B39="","",IF(AND(ISNUMBER(R39),ISNUMBER(G39)),R39-G39,""))</f>
        <v/>
      </c>
      <c r="AA39" s="20">
        <f>IF($B39="","",IF(NOT(ISNUMBER(R39)),"Percentuais ≥ 100%",IF(N(D39)=0,"Sem tempo",IF(J39=0,"Sem materiais",""))))</f>
        <v/>
      </c>
    </row>
    <row r="40">
      <c r="A40" s="7" t="inlineStr">
        <is>
          <t>10.0</t>
        </is>
      </c>
      <c r="B40" s="7" t="inlineStr">
        <is>
          <t>Invisalign light</t>
        </is>
      </c>
      <c r="C40" s="7" t="inlineStr">
        <is>
          <t>Ortodontia</t>
        </is>
      </c>
      <c r="D40" s="7" t="n">
        <v>180</v>
      </c>
      <c r="E40" s="8" t="n">
        <v>0</v>
      </c>
      <c r="F40" s="8" t="n">
        <v>5607</v>
      </c>
      <c r="G40" s="8" t="n">
        <v>7000</v>
      </c>
      <c r="H40" s="13" t="n"/>
      <c r="I40" s="13" t="n"/>
      <c r="J40" s="18">
        <f>IF($B40="","",SUMIFS(Itens!$E$2:$E$158,Itens!$A$2:$A$158,$B40)+N(F40))</f>
        <v/>
      </c>
      <c r="K40" s="18">
        <f>IF($B40="","",N(D40)/60*Parâmetros!$B$57)</f>
        <v/>
      </c>
      <c r="L40" s="18">
        <f>IF($B40="","",N(D40)/60*Parâmetros!$B$60)</f>
        <v/>
      </c>
      <c r="M40" s="11">
        <f>IF($B40="","",J40+N(E40)+K40+L40)</f>
        <v/>
      </c>
      <c r="N40" s="19">
        <f>IF($B40="","",IF(H40="",Parâmetros!$B$62,H40))</f>
        <v/>
      </c>
      <c r="O40" s="19">
        <f>IF($B40="","",IF(I40="",Parâmetros!$B$63,I40))</f>
        <v/>
      </c>
      <c r="P40" s="18">
        <f>IF($B40="","",IF(1-(Parâmetros!$B$61+N40+Parâmetros!$B$78)-Parâmetros!$B$66-O40&lt;=0,"ERRO",M40/(1-(Parâmetros!$B$61+N40+Parâmetros!$B$78)-Parâmetros!$B$66-O40)))</f>
        <v/>
      </c>
      <c r="Q40" s="18">
        <f>IF($B40="","",IF((1-Parâmetros!$B$65)*(1-(Parâmetros!$B$61+N40+Parâmetros!$B$78))-O40&lt;=0,"ERRO",(1-Parâmetros!$B$65)*M40/((1-Parâmetros!$B$65)*(1-(Parâmetros!$B$61+N40+Parâmetros!$B$78))-O40)))</f>
        <v/>
      </c>
      <c r="R40" s="11">
        <f>IF($B40="","",IF(Parâmetros!$B$64=2,P40,Q40))</f>
        <v/>
      </c>
      <c r="S40" s="18">
        <f>IF($B40="","",IF(Parâmetros!$B$64=2,IF(1-(Parâmetros!$B$61+N40+Parâmetros!$B$78)-Parâmetros!$B$66&lt;=0,"ERRO",M40/(1-(Parâmetros!$B$61+N40+Parâmetros!$B$78)-Parâmetros!$B$66)),IF((1-Parâmetros!$B$65)*(1-(Parâmetros!$B$61+N40+Parâmetros!$B$78))&lt;=0,"ERRO",(1-Parâmetros!$B$65)*M40/((1-Parâmetros!$B$65)*(1-(Parâmetros!$B$61+N40+Parâmetros!$B$78))))))</f>
        <v/>
      </c>
      <c r="T40" s="18">
        <f>IF($B40="","",IF(ISNUMBER(R40),R40*Parâmetros!$B$61,""))</f>
        <v/>
      </c>
      <c r="U40" s="18">
        <f>IF($B40="","",IF(ISNUMBER(R40),R40*N40,""))</f>
        <v/>
      </c>
      <c r="V40" s="18">
        <f>IF($B40="","",IF(ISNUMBER(R40),R40*Parâmetros!$B$78,""))</f>
        <v/>
      </c>
      <c r="W40" s="18">
        <f>IF($B40="","",IF(ISNUMBER(R40),IF(Parâmetros!$B$64=2,R40*Parâmetros!$B$66,Parâmetros!$B$65*(R40-M40-R40*(Parâmetros!$B$61+N40+Parâmetros!$B$78))),""))</f>
        <v/>
      </c>
      <c r="X40" s="11">
        <f>IF($B40="","",IF(ISNUMBER(R40),R40-M40-T40-U40-V40-W40,""))</f>
        <v/>
      </c>
      <c r="Y40" s="19">
        <f>IF($B40="","",IF(AND(ISNUMBER(R40),R40&gt;0),X40/R40,""))</f>
        <v/>
      </c>
      <c r="Z40" s="18">
        <f>IF($B40="","",IF(AND(ISNUMBER(R40),ISNUMBER(G40)),R40-G40,""))</f>
        <v/>
      </c>
      <c r="AA40" s="20">
        <f>IF($B40="","",IF(NOT(ISNUMBER(R40)),"Percentuais ≥ 100%",IF(N(D40)=0,"Sem tempo",IF(J40=0,"Sem materiais",""))))</f>
        <v/>
      </c>
    </row>
    <row r="41">
      <c r="A41" s="7" t="inlineStr">
        <is>
          <t>10.1</t>
        </is>
      </c>
      <c r="B41" s="7" t="inlineStr">
        <is>
          <t>Invisalign moderate</t>
        </is>
      </c>
      <c r="C41" s="7" t="inlineStr">
        <is>
          <t>Ortodontia</t>
        </is>
      </c>
      <c r="D41" s="7" t="n">
        <v>420</v>
      </c>
      <c r="E41" s="8" t="n">
        <v>0</v>
      </c>
      <c r="F41" s="8" t="n">
        <v>7639</v>
      </c>
      <c r="G41" s="8" t="n">
        <v>10000</v>
      </c>
      <c r="H41" s="13" t="n"/>
      <c r="I41" s="13" t="n"/>
      <c r="J41" s="18">
        <f>IF($B41="","",SUMIFS(Itens!$E$2:$E$158,Itens!$A$2:$A$158,$B41)+N(F41))</f>
        <v/>
      </c>
      <c r="K41" s="18">
        <f>IF($B41="","",N(D41)/60*Parâmetros!$B$57)</f>
        <v/>
      </c>
      <c r="L41" s="18">
        <f>IF($B41="","",N(D41)/60*Parâmetros!$B$60)</f>
        <v/>
      </c>
      <c r="M41" s="11">
        <f>IF($B41="","",J41+N(E41)+K41+L41)</f>
        <v/>
      </c>
      <c r="N41" s="19">
        <f>IF($B41="","",IF(H41="",Parâmetros!$B$62,H41))</f>
        <v/>
      </c>
      <c r="O41" s="19">
        <f>IF($B41="","",IF(I41="",Parâmetros!$B$63,I41))</f>
        <v/>
      </c>
      <c r="P41" s="18">
        <f>IF($B41="","",IF(1-(Parâmetros!$B$61+N41+Parâmetros!$B$78)-Parâmetros!$B$66-O41&lt;=0,"ERRO",M41/(1-(Parâmetros!$B$61+N41+Parâmetros!$B$78)-Parâmetros!$B$66-O41)))</f>
        <v/>
      </c>
      <c r="Q41" s="18">
        <f>IF($B41="","",IF((1-Parâmetros!$B$65)*(1-(Parâmetros!$B$61+N41+Parâmetros!$B$78))-O41&lt;=0,"ERRO",(1-Parâmetros!$B$65)*M41/((1-Parâmetros!$B$65)*(1-(Parâmetros!$B$61+N41+Parâmetros!$B$78))-O41)))</f>
        <v/>
      </c>
      <c r="R41" s="11">
        <f>IF($B41="","",IF(Parâmetros!$B$64=2,P41,Q41))</f>
        <v/>
      </c>
      <c r="S41" s="18">
        <f>IF($B41="","",IF(Parâmetros!$B$64=2,IF(1-(Parâmetros!$B$61+N41+Parâmetros!$B$78)-Parâmetros!$B$66&lt;=0,"ERRO",M41/(1-(Parâmetros!$B$61+N41+Parâmetros!$B$78)-Parâmetros!$B$66)),IF((1-Parâmetros!$B$65)*(1-(Parâmetros!$B$61+N41+Parâmetros!$B$78))&lt;=0,"ERRO",(1-Parâmetros!$B$65)*M41/((1-Parâmetros!$B$65)*(1-(Parâmetros!$B$61+N41+Parâmetros!$B$78))))))</f>
        <v/>
      </c>
      <c r="T41" s="18">
        <f>IF($B41="","",IF(ISNUMBER(R41),R41*Parâmetros!$B$61,""))</f>
        <v/>
      </c>
      <c r="U41" s="18">
        <f>IF($B41="","",IF(ISNUMBER(R41),R41*N41,""))</f>
        <v/>
      </c>
      <c r="V41" s="18">
        <f>IF($B41="","",IF(ISNUMBER(R41),R41*Parâmetros!$B$78,""))</f>
        <v/>
      </c>
      <c r="W41" s="18">
        <f>IF($B41="","",IF(ISNUMBER(R41),IF(Parâmetros!$B$64=2,R41*Parâmetros!$B$66,Parâmetros!$B$65*(R41-M41-R41*(Parâmetros!$B$61+N41+Parâmetros!$B$78))),""))</f>
        <v/>
      </c>
      <c r="X41" s="11">
        <f>IF($B41="","",IF(ISNUMBER(R41),R41-M41-T41-U41-V41-W41,""))</f>
        <v/>
      </c>
      <c r="Y41" s="19">
        <f>IF($B41="","",IF(AND(ISNUMBER(R41),R41&gt;0),X41/R41,""))</f>
        <v/>
      </c>
      <c r="Z41" s="18">
        <f>IF($B41="","",IF(AND(ISNUMBER(R41),ISNUMBER(G41)),R41-G41,""))</f>
        <v/>
      </c>
      <c r="AA41" s="20">
        <f>IF($B41="","",IF(NOT(ISNUMBER(R41)),"Percentuais ≥ 100%",IF(N(D41)=0,"Sem tempo",IF(J41=0,"Sem materiais",""))))</f>
        <v/>
      </c>
    </row>
    <row r="42">
      <c r="A42" s="7" t="inlineStr">
        <is>
          <t>10.2</t>
        </is>
      </c>
      <c r="B42" s="7" t="inlineStr">
        <is>
          <t>Invisalign comprehensive</t>
        </is>
      </c>
      <c r="C42" s="7" t="inlineStr">
        <is>
          <t>Ortodontia</t>
        </is>
      </c>
      <c r="D42" s="7" t="n">
        <v>900</v>
      </c>
      <c r="E42" s="8" t="n">
        <v>0</v>
      </c>
      <c r="F42" s="8" t="n">
        <v>8480</v>
      </c>
      <c r="G42" s="8" t="n">
        <v>14000</v>
      </c>
      <c r="H42" s="13" t="n"/>
      <c r="I42" s="13" t="n"/>
      <c r="J42" s="18">
        <f>IF($B42="","",SUMIFS(Itens!$E$2:$E$158,Itens!$A$2:$A$158,$B42)+N(F42))</f>
        <v/>
      </c>
      <c r="K42" s="18">
        <f>IF($B42="","",N(D42)/60*Parâmetros!$B$57)</f>
        <v/>
      </c>
      <c r="L42" s="18">
        <f>IF($B42="","",N(D42)/60*Parâmetros!$B$60)</f>
        <v/>
      </c>
      <c r="M42" s="11">
        <f>IF($B42="","",J42+N(E42)+K42+L42)</f>
        <v/>
      </c>
      <c r="N42" s="19">
        <f>IF($B42="","",IF(H42="",Parâmetros!$B$62,H42))</f>
        <v/>
      </c>
      <c r="O42" s="19">
        <f>IF($B42="","",IF(I42="",Parâmetros!$B$63,I42))</f>
        <v/>
      </c>
      <c r="P42" s="18">
        <f>IF($B42="","",IF(1-(Parâmetros!$B$61+N42+Parâmetros!$B$78)-Parâmetros!$B$66-O42&lt;=0,"ERRO",M42/(1-(Parâmetros!$B$61+N42+Parâmetros!$B$78)-Parâmetros!$B$66-O42)))</f>
        <v/>
      </c>
      <c r="Q42" s="18">
        <f>IF($B42="","",IF((1-Parâmetros!$B$65)*(1-(Parâmetros!$B$61+N42+Parâmetros!$B$78))-O42&lt;=0,"ERRO",(1-Parâmetros!$B$65)*M42/((1-Parâmetros!$B$65)*(1-(Parâmetros!$B$61+N42+Parâmetros!$B$78))-O42)))</f>
        <v/>
      </c>
      <c r="R42" s="11">
        <f>IF($B42="","",IF(Parâmetros!$B$64=2,P42,Q42))</f>
        <v/>
      </c>
      <c r="S42" s="18">
        <f>IF($B42="","",IF(Parâmetros!$B$64=2,IF(1-(Parâmetros!$B$61+N42+Parâmetros!$B$78)-Parâmetros!$B$66&lt;=0,"ERRO",M42/(1-(Parâmetros!$B$61+N42+Parâmetros!$B$78)-Parâmetros!$B$66)),IF((1-Parâmetros!$B$65)*(1-(Parâmetros!$B$61+N42+Parâmetros!$B$78))&lt;=0,"ERRO",(1-Parâmetros!$B$65)*M42/((1-Parâmetros!$B$65)*(1-(Parâmetros!$B$61+N42+Parâmetros!$B$78))))))</f>
        <v/>
      </c>
      <c r="T42" s="18">
        <f>IF($B42="","",IF(ISNUMBER(R42),R42*Parâmetros!$B$61,""))</f>
        <v/>
      </c>
      <c r="U42" s="18">
        <f>IF($B42="","",IF(ISNUMBER(R42),R42*N42,""))</f>
        <v/>
      </c>
      <c r="V42" s="18">
        <f>IF($B42="","",IF(ISNUMBER(R42),R42*Parâmetros!$B$78,""))</f>
        <v/>
      </c>
      <c r="W42" s="18">
        <f>IF($B42="","",IF(ISNUMBER(R42),IF(Parâmetros!$B$64=2,R42*Parâmetros!$B$66,Parâmetros!$B$65*(R42-M42-R42*(Parâmetros!$B$61+N42+Parâmetros!$B$78))),""))</f>
        <v/>
      </c>
      <c r="X42" s="11">
        <f>IF($B42="","",IF(ISNUMBER(R42),R42-M42-T42-U42-V42-W42,""))</f>
        <v/>
      </c>
      <c r="Y42" s="19">
        <f>IF($B42="","",IF(AND(ISNUMBER(R42),R42&gt;0),X42/R42,""))</f>
        <v/>
      </c>
      <c r="Z42" s="18">
        <f>IF($B42="","",IF(AND(ISNUMBER(R42),ISNUMBER(G42)),R42-G42,""))</f>
        <v/>
      </c>
      <c r="AA42" s="20">
        <f>IF($B42="","",IF(NOT(ISNUMBER(R42)),"Percentuais ≥ 100%",IF(N(D42)=0,"Sem tempo",IF(J42=0,"Sem materiais",""))))</f>
        <v/>
      </c>
    </row>
    <row r="43">
      <c r="A43" s="7" t="inlineStr">
        <is>
          <t>10.3</t>
        </is>
      </c>
      <c r="B43" s="7" t="inlineStr">
        <is>
          <t>Contenção invisalign</t>
        </is>
      </c>
      <c r="C43" s="7" t="inlineStr">
        <is>
          <t>Ortodontia</t>
        </is>
      </c>
      <c r="D43" s="7" t="n">
        <v>60</v>
      </c>
      <c r="E43" s="8" t="n">
        <v>0</v>
      </c>
      <c r="F43" s="8" t="n">
        <v>555</v>
      </c>
      <c r="G43" s="8" t="n">
        <v>1000</v>
      </c>
      <c r="H43" s="13" t="n"/>
      <c r="I43" s="13" t="n"/>
      <c r="J43" s="18">
        <f>IF($B43="","",SUMIFS(Itens!$E$2:$E$158,Itens!$A$2:$A$158,$B43)+N(F43))</f>
        <v/>
      </c>
      <c r="K43" s="18">
        <f>IF($B43="","",N(D43)/60*Parâmetros!$B$57)</f>
        <v/>
      </c>
      <c r="L43" s="18">
        <f>IF($B43="","",N(D43)/60*Parâmetros!$B$60)</f>
        <v/>
      </c>
      <c r="M43" s="11">
        <f>IF($B43="","",J43+N(E43)+K43+L43)</f>
        <v/>
      </c>
      <c r="N43" s="19">
        <f>IF($B43="","",IF(H43="",Parâmetros!$B$62,H43))</f>
        <v/>
      </c>
      <c r="O43" s="19">
        <f>IF($B43="","",IF(I43="",Parâmetros!$B$63,I43))</f>
        <v/>
      </c>
      <c r="P43" s="18">
        <f>IF($B43="","",IF(1-(Parâmetros!$B$61+N43+Parâmetros!$B$78)-Parâmetros!$B$66-O43&lt;=0,"ERRO",M43/(1-(Parâmetros!$B$61+N43+Parâmetros!$B$78)-Parâmetros!$B$66-O43)))</f>
        <v/>
      </c>
      <c r="Q43" s="18">
        <f>IF($B43="","",IF((1-Parâmetros!$B$65)*(1-(Parâmetros!$B$61+N43+Parâmetros!$B$78))-O43&lt;=0,"ERRO",(1-Parâmetros!$B$65)*M43/((1-Parâmetros!$B$65)*(1-(Parâmetros!$B$61+N43+Parâmetros!$B$78))-O43)))</f>
        <v/>
      </c>
      <c r="R43" s="11">
        <f>IF($B43="","",IF(Parâmetros!$B$64=2,P43,Q43))</f>
        <v/>
      </c>
      <c r="S43" s="18">
        <f>IF($B43="","",IF(Parâmetros!$B$64=2,IF(1-(Parâmetros!$B$61+N43+Parâmetros!$B$78)-Parâmetros!$B$66&lt;=0,"ERRO",M43/(1-(Parâmetros!$B$61+N43+Parâmetros!$B$78)-Parâmetros!$B$66)),IF((1-Parâmetros!$B$65)*(1-(Parâmetros!$B$61+N43+Parâmetros!$B$78))&lt;=0,"ERRO",(1-Parâmetros!$B$65)*M43/((1-Parâmetros!$B$65)*(1-(Parâmetros!$B$61+N43+Parâmetros!$B$78))))))</f>
        <v/>
      </c>
      <c r="T43" s="18">
        <f>IF($B43="","",IF(ISNUMBER(R43),R43*Parâmetros!$B$61,""))</f>
        <v/>
      </c>
      <c r="U43" s="18">
        <f>IF($B43="","",IF(ISNUMBER(R43),R43*N43,""))</f>
        <v/>
      </c>
      <c r="V43" s="18">
        <f>IF($B43="","",IF(ISNUMBER(R43),R43*Parâmetros!$B$78,""))</f>
        <v/>
      </c>
      <c r="W43" s="18">
        <f>IF($B43="","",IF(ISNUMBER(R43),IF(Parâmetros!$B$64=2,R43*Parâmetros!$B$66,Parâmetros!$B$65*(R43-M43-R43*(Parâmetros!$B$61+N43+Parâmetros!$B$78))),""))</f>
        <v/>
      </c>
      <c r="X43" s="11">
        <f>IF($B43="","",IF(ISNUMBER(R43),R43-M43-T43-U43-V43-W43,""))</f>
        <v/>
      </c>
      <c r="Y43" s="19">
        <f>IF($B43="","",IF(AND(ISNUMBER(R43),R43&gt;0),X43/R43,""))</f>
        <v/>
      </c>
      <c r="Z43" s="18">
        <f>IF($B43="","",IF(AND(ISNUMBER(R43),ISNUMBER(G43)),R43-G43,""))</f>
        <v/>
      </c>
      <c r="AA43" s="20">
        <f>IF($B43="","",IF(NOT(ISNUMBER(R43)),"Percentuais ≥ 100%",IF(N(D43)=0,"Sem tempo",IF(J43=0,"Sem materiais",""))))</f>
        <v/>
      </c>
    </row>
    <row r="44">
      <c r="A44" s="7" t="inlineStr">
        <is>
          <t>11.0</t>
        </is>
      </c>
      <c r="B44" s="7" t="inlineStr">
        <is>
          <t>Contenção hawley</t>
        </is>
      </c>
      <c r="C44" s="7" t="inlineStr">
        <is>
          <t>Ortodontia</t>
        </is>
      </c>
      <c r="D44" s="7" t="n">
        <v>0</v>
      </c>
      <c r="E44" s="8" t="n">
        <v>0</v>
      </c>
      <c r="F44" s="8" t="n">
        <v>120</v>
      </c>
      <c r="G44" s="8" t="n">
        <v>300</v>
      </c>
      <c r="H44" s="13" t="n"/>
      <c r="I44" s="13" t="n"/>
      <c r="J44" s="18">
        <f>IF($B44="","",SUMIFS(Itens!$E$2:$E$158,Itens!$A$2:$A$158,$B44)+N(F44))</f>
        <v/>
      </c>
      <c r="K44" s="18">
        <f>IF($B44="","",N(D44)/60*Parâmetros!$B$57)</f>
        <v/>
      </c>
      <c r="L44" s="18">
        <f>IF($B44="","",N(D44)/60*Parâmetros!$B$60)</f>
        <v/>
      </c>
      <c r="M44" s="11">
        <f>IF($B44="","",J44+N(E44)+K44+L44)</f>
        <v/>
      </c>
      <c r="N44" s="19">
        <f>IF($B44="","",IF(H44="",Parâmetros!$B$62,H44))</f>
        <v/>
      </c>
      <c r="O44" s="19">
        <f>IF($B44="","",IF(I44="",Parâmetros!$B$63,I44))</f>
        <v/>
      </c>
      <c r="P44" s="18">
        <f>IF($B44="","",IF(1-(Parâmetros!$B$61+N44+Parâmetros!$B$78)-Parâmetros!$B$66-O44&lt;=0,"ERRO",M44/(1-(Parâmetros!$B$61+N44+Parâmetros!$B$78)-Parâmetros!$B$66-O44)))</f>
        <v/>
      </c>
      <c r="Q44" s="18">
        <f>IF($B44="","",IF((1-Parâmetros!$B$65)*(1-(Parâmetros!$B$61+N44+Parâmetros!$B$78))-O44&lt;=0,"ERRO",(1-Parâmetros!$B$65)*M44/((1-Parâmetros!$B$65)*(1-(Parâmetros!$B$61+N44+Parâmetros!$B$78))-O44)))</f>
        <v/>
      </c>
      <c r="R44" s="11">
        <f>IF($B44="","",IF(Parâmetros!$B$64=2,P44,Q44))</f>
        <v/>
      </c>
      <c r="S44" s="18">
        <f>IF($B44="","",IF(Parâmetros!$B$64=2,IF(1-(Parâmetros!$B$61+N44+Parâmetros!$B$78)-Parâmetros!$B$66&lt;=0,"ERRO",M44/(1-(Parâmetros!$B$61+N44+Parâmetros!$B$78)-Parâmetros!$B$66)),IF((1-Parâmetros!$B$65)*(1-(Parâmetros!$B$61+N44+Parâmetros!$B$78))&lt;=0,"ERRO",(1-Parâmetros!$B$65)*M44/((1-Parâmetros!$B$65)*(1-(Parâmetros!$B$61+N44+Parâmetros!$B$78))))))</f>
        <v/>
      </c>
      <c r="T44" s="18">
        <f>IF($B44="","",IF(ISNUMBER(R44),R44*Parâmetros!$B$61,""))</f>
        <v/>
      </c>
      <c r="U44" s="18">
        <f>IF($B44="","",IF(ISNUMBER(R44),R44*N44,""))</f>
        <v/>
      </c>
      <c r="V44" s="18">
        <f>IF($B44="","",IF(ISNUMBER(R44),R44*Parâmetros!$B$78,""))</f>
        <v/>
      </c>
      <c r="W44" s="18">
        <f>IF($B44="","",IF(ISNUMBER(R44),IF(Parâmetros!$B$64=2,R44*Parâmetros!$B$66,Parâmetros!$B$65*(R44-M44-R44*(Parâmetros!$B$61+N44+Parâmetros!$B$78))),""))</f>
        <v/>
      </c>
      <c r="X44" s="11">
        <f>IF($B44="","",IF(ISNUMBER(R44),R44-M44-T44-U44-V44-W44,""))</f>
        <v/>
      </c>
      <c r="Y44" s="19">
        <f>IF($B44="","",IF(AND(ISNUMBER(R44),R44&gt;0),X44/R44,""))</f>
        <v/>
      </c>
      <c r="Z44" s="18">
        <f>IF($B44="","",IF(AND(ISNUMBER(R44),ISNUMBER(G44)),R44-G44,""))</f>
        <v/>
      </c>
      <c r="AA44" s="20">
        <f>IF($B44="","",IF(NOT(ISNUMBER(R44)),"Percentuais ≥ 100%",IF(N(D44)=0,"Sem tempo",IF(J44=0,"Sem materiais",""))))</f>
        <v/>
      </c>
    </row>
    <row r="45">
      <c r="A45" s="7" t="inlineStr">
        <is>
          <t>11.1</t>
        </is>
      </c>
      <c r="B45" s="7" t="inlineStr">
        <is>
          <t>Contenção 3x3</t>
        </is>
      </c>
      <c r="C45" s="7" t="inlineStr">
        <is>
          <t>Ortodontia</t>
        </is>
      </c>
      <c r="D45" s="7" t="n">
        <v>60</v>
      </c>
      <c r="E45" s="8" t="n">
        <v>0</v>
      </c>
      <c r="F45" s="8" t="n">
        <v>100</v>
      </c>
      <c r="G45" s="8" t="n">
        <v>300</v>
      </c>
      <c r="H45" s="13" t="n"/>
      <c r="I45" s="13" t="n"/>
      <c r="J45" s="18">
        <f>IF($B45="","",SUMIFS(Itens!$E$2:$E$158,Itens!$A$2:$A$158,$B45)+N(F45))</f>
        <v/>
      </c>
      <c r="K45" s="18">
        <f>IF($B45="","",N(D45)/60*Parâmetros!$B$57)</f>
        <v/>
      </c>
      <c r="L45" s="18">
        <f>IF($B45="","",N(D45)/60*Parâmetros!$B$60)</f>
        <v/>
      </c>
      <c r="M45" s="11">
        <f>IF($B45="","",J45+N(E45)+K45+L45)</f>
        <v/>
      </c>
      <c r="N45" s="19">
        <f>IF($B45="","",IF(H45="",Parâmetros!$B$62,H45))</f>
        <v/>
      </c>
      <c r="O45" s="19">
        <f>IF($B45="","",IF(I45="",Parâmetros!$B$63,I45))</f>
        <v/>
      </c>
      <c r="P45" s="18">
        <f>IF($B45="","",IF(1-(Parâmetros!$B$61+N45+Parâmetros!$B$78)-Parâmetros!$B$66-O45&lt;=0,"ERRO",M45/(1-(Parâmetros!$B$61+N45+Parâmetros!$B$78)-Parâmetros!$B$66-O45)))</f>
        <v/>
      </c>
      <c r="Q45" s="18">
        <f>IF($B45="","",IF((1-Parâmetros!$B$65)*(1-(Parâmetros!$B$61+N45+Parâmetros!$B$78))-O45&lt;=0,"ERRO",(1-Parâmetros!$B$65)*M45/((1-Parâmetros!$B$65)*(1-(Parâmetros!$B$61+N45+Parâmetros!$B$78))-O45)))</f>
        <v/>
      </c>
      <c r="R45" s="11">
        <f>IF($B45="","",IF(Parâmetros!$B$64=2,P45,Q45))</f>
        <v/>
      </c>
      <c r="S45" s="18">
        <f>IF($B45="","",IF(Parâmetros!$B$64=2,IF(1-(Parâmetros!$B$61+N45+Parâmetros!$B$78)-Parâmetros!$B$66&lt;=0,"ERRO",M45/(1-(Parâmetros!$B$61+N45+Parâmetros!$B$78)-Parâmetros!$B$66)),IF((1-Parâmetros!$B$65)*(1-(Parâmetros!$B$61+N45+Parâmetros!$B$78))&lt;=0,"ERRO",(1-Parâmetros!$B$65)*M45/((1-Parâmetros!$B$65)*(1-(Parâmetros!$B$61+N45+Parâmetros!$B$78))))))</f>
        <v/>
      </c>
      <c r="T45" s="18">
        <f>IF($B45="","",IF(ISNUMBER(R45),R45*Parâmetros!$B$61,""))</f>
        <v/>
      </c>
      <c r="U45" s="18">
        <f>IF($B45="","",IF(ISNUMBER(R45),R45*N45,""))</f>
        <v/>
      </c>
      <c r="V45" s="18">
        <f>IF($B45="","",IF(ISNUMBER(R45),R45*Parâmetros!$B$78,""))</f>
        <v/>
      </c>
      <c r="W45" s="18">
        <f>IF($B45="","",IF(ISNUMBER(R45),IF(Parâmetros!$B$64=2,R45*Parâmetros!$B$66,Parâmetros!$B$65*(R45-M45-R45*(Parâmetros!$B$61+N45+Parâmetros!$B$78))),""))</f>
        <v/>
      </c>
      <c r="X45" s="11">
        <f>IF($B45="","",IF(ISNUMBER(R45),R45-M45-T45-U45-V45-W45,""))</f>
        <v/>
      </c>
      <c r="Y45" s="19">
        <f>IF($B45="","",IF(AND(ISNUMBER(R45),R45&gt;0),X45/R45,""))</f>
        <v/>
      </c>
      <c r="Z45" s="18">
        <f>IF($B45="","",IF(AND(ISNUMBER(R45),ISNUMBER(G45)),R45-G45,""))</f>
        <v/>
      </c>
      <c r="AA45" s="20">
        <f>IF($B45="","",IF(NOT(ISNUMBER(R45)),"Percentuais ≥ 100%",IF(N(D45)=0,"Sem tempo",IF(J45=0,"Sem materiais",""))))</f>
        <v/>
      </c>
    </row>
    <row r="46">
      <c r="A46" s="7" t="inlineStr">
        <is>
          <t>11.2</t>
        </is>
      </c>
      <c r="B46" s="7" t="inlineStr">
        <is>
          <t>Contenção hawley e 3x3</t>
        </is>
      </c>
      <c r="C46" s="7" t="inlineStr">
        <is>
          <t>Ortodontia</t>
        </is>
      </c>
      <c r="D46" s="7" t="n">
        <v>60</v>
      </c>
      <c r="E46" s="8" t="n">
        <v>0</v>
      </c>
      <c r="F46" s="8" t="n">
        <v>150</v>
      </c>
      <c r="G46" s="8" t="n">
        <v>500</v>
      </c>
      <c r="H46" s="13" t="n"/>
      <c r="I46" s="13" t="n"/>
      <c r="J46" s="18">
        <f>IF($B46="","",SUMIFS(Itens!$E$2:$E$158,Itens!$A$2:$A$158,$B46)+N(F46))</f>
        <v/>
      </c>
      <c r="K46" s="18">
        <f>IF($B46="","",N(D46)/60*Parâmetros!$B$57)</f>
        <v/>
      </c>
      <c r="L46" s="18">
        <f>IF($B46="","",N(D46)/60*Parâmetros!$B$60)</f>
        <v/>
      </c>
      <c r="M46" s="11">
        <f>IF($B46="","",J46+N(E46)+K46+L46)</f>
        <v/>
      </c>
      <c r="N46" s="19">
        <f>IF($B46="","",IF(H46="",Parâmetros!$B$62,H46))</f>
        <v/>
      </c>
      <c r="O46" s="19">
        <f>IF($B46="","",IF(I46="",Parâmetros!$B$63,I46))</f>
        <v/>
      </c>
      <c r="P46" s="18">
        <f>IF($B46="","",IF(1-(Parâmetros!$B$61+N46+Parâmetros!$B$78)-Parâmetros!$B$66-O46&lt;=0,"ERRO",M46/(1-(Parâmetros!$B$61+N46+Parâmetros!$B$78)-Parâmetros!$B$66-O46)))</f>
        <v/>
      </c>
      <c r="Q46" s="18">
        <f>IF($B46="","",IF((1-Parâmetros!$B$65)*(1-(Parâmetros!$B$61+N46+Parâmetros!$B$78))-O46&lt;=0,"ERRO",(1-Parâmetros!$B$65)*M46/((1-Parâmetros!$B$65)*(1-(Parâmetros!$B$61+N46+Parâmetros!$B$78))-O46)))</f>
        <v/>
      </c>
      <c r="R46" s="11">
        <f>IF($B46="","",IF(Parâmetros!$B$64=2,P46,Q46))</f>
        <v/>
      </c>
      <c r="S46" s="18">
        <f>IF($B46="","",IF(Parâmetros!$B$64=2,IF(1-(Parâmetros!$B$61+N46+Parâmetros!$B$78)-Parâmetros!$B$66&lt;=0,"ERRO",M46/(1-(Parâmetros!$B$61+N46+Parâmetros!$B$78)-Parâmetros!$B$66)),IF((1-Parâmetros!$B$65)*(1-(Parâmetros!$B$61+N46+Parâmetros!$B$78))&lt;=0,"ERRO",(1-Parâmetros!$B$65)*M46/((1-Parâmetros!$B$65)*(1-(Parâmetros!$B$61+N46+Parâmetros!$B$78))))))</f>
        <v/>
      </c>
      <c r="T46" s="18">
        <f>IF($B46="","",IF(ISNUMBER(R46),R46*Parâmetros!$B$61,""))</f>
        <v/>
      </c>
      <c r="U46" s="18">
        <f>IF($B46="","",IF(ISNUMBER(R46),R46*N46,""))</f>
        <v/>
      </c>
      <c r="V46" s="18">
        <f>IF($B46="","",IF(ISNUMBER(R46),R46*Parâmetros!$B$78,""))</f>
        <v/>
      </c>
      <c r="W46" s="18">
        <f>IF($B46="","",IF(ISNUMBER(R46),IF(Parâmetros!$B$64=2,R46*Parâmetros!$B$66,Parâmetros!$B$65*(R46-M46-R46*(Parâmetros!$B$61+N46+Parâmetros!$B$78))),""))</f>
        <v/>
      </c>
      <c r="X46" s="11">
        <f>IF($B46="","",IF(ISNUMBER(R46),R46-M46-T46-U46-V46-W46,""))</f>
        <v/>
      </c>
      <c r="Y46" s="19">
        <f>IF($B46="","",IF(AND(ISNUMBER(R46),R46&gt;0),X46/R46,""))</f>
        <v/>
      </c>
      <c r="Z46" s="18">
        <f>IF($B46="","",IF(AND(ISNUMBER(R46),ISNUMBER(G46)),R46-G46,""))</f>
        <v/>
      </c>
      <c r="AA46" s="20">
        <f>IF($B46="","",IF(NOT(ISNUMBER(R46)),"Percentuais ≥ 100%",IF(N(D46)=0,"Sem tempo",IF(J46=0,"Sem materiais",""))))</f>
        <v/>
      </c>
    </row>
    <row r="47">
      <c r="A47" s="7" t="inlineStr">
        <is>
          <t>11.3</t>
        </is>
      </c>
      <c r="B47" s="7" t="inlineStr">
        <is>
          <t>Contenção moldeira tipo invisalign</t>
        </is>
      </c>
      <c r="C47" s="7" t="inlineStr">
        <is>
          <t>Ortodontia</t>
        </is>
      </c>
      <c r="D47" s="7" t="n">
        <v>90</v>
      </c>
      <c r="E47" s="8" t="n">
        <v>0</v>
      </c>
      <c r="F47" s="8" t="n">
        <v>120</v>
      </c>
      <c r="G47" s="8" t="n">
        <v>600</v>
      </c>
      <c r="H47" s="13" t="n"/>
      <c r="I47" s="13" t="n"/>
      <c r="J47" s="18">
        <f>IF($B47="","",SUMIFS(Itens!$E$2:$E$158,Itens!$A$2:$A$158,$B47)+N(F47))</f>
        <v/>
      </c>
      <c r="K47" s="18">
        <f>IF($B47="","",N(D47)/60*Parâmetros!$B$57)</f>
        <v/>
      </c>
      <c r="L47" s="18">
        <f>IF($B47="","",N(D47)/60*Parâmetros!$B$60)</f>
        <v/>
      </c>
      <c r="M47" s="11">
        <f>IF($B47="","",J47+N(E47)+K47+L47)</f>
        <v/>
      </c>
      <c r="N47" s="19">
        <f>IF($B47="","",IF(H47="",Parâmetros!$B$62,H47))</f>
        <v/>
      </c>
      <c r="O47" s="19">
        <f>IF($B47="","",IF(I47="",Parâmetros!$B$63,I47))</f>
        <v/>
      </c>
      <c r="P47" s="18">
        <f>IF($B47="","",IF(1-(Parâmetros!$B$61+N47+Parâmetros!$B$78)-Parâmetros!$B$66-O47&lt;=0,"ERRO",M47/(1-(Parâmetros!$B$61+N47+Parâmetros!$B$78)-Parâmetros!$B$66-O47)))</f>
        <v/>
      </c>
      <c r="Q47" s="18">
        <f>IF($B47="","",IF((1-Parâmetros!$B$65)*(1-(Parâmetros!$B$61+N47+Parâmetros!$B$78))-O47&lt;=0,"ERRO",(1-Parâmetros!$B$65)*M47/((1-Parâmetros!$B$65)*(1-(Parâmetros!$B$61+N47+Parâmetros!$B$78))-O47)))</f>
        <v/>
      </c>
      <c r="R47" s="11">
        <f>IF($B47="","",IF(Parâmetros!$B$64=2,P47,Q47))</f>
        <v/>
      </c>
      <c r="S47" s="18">
        <f>IF($B47="","",IF(Parâmetros!$B$64=2,IF(1-(Parâmetros!$B$61+N47+Parâmetros!$B$78)-Parâmetros!$B$66&lt;=0,"ERRO",M47/(1-(Parâmetros!$B$61+N47+Parâmetros!$B$78)-Parâmetros!$B$66)),IF((1-Parâmetros!$B$65)*(1-(Parâmetros!$B$61+N47+Parâmetros!$B$78))&lt;=0,"ERRO",(1-Parâmetros!$B$65)*M47/((1-Parâmetros!$B$65)*(1-(Parâmetros!$B$61+N47+Parâmetros!$B$78))))))</f>
        <v/>
      </c>
      <c r="T47" s="18">
        <f>IF($B47="","",IF(ISNUMBER(R47),R47*Parâmetros!$B$61,""))</f>
        <v/>
      </c>
      <c r="U47" s="18">
        <f>IF($B47="","",IF(ISNUMBER(R47),R47*N47,""))</f>
        <v/>
      </c>
      <c r="V47" s="18">
        <f>IF($B47="","",IF(ISNUMBER(R47),R47*Parâmetros!$B$78,""))</f>
        <v/>
      </c>
      <c r="W47" s="18">
        <f>IF($B47="","",IF(ISNUMBER(R47),IF(Parâmetros!$B$64=2,R47*Parâmetros!$B$66,Parâmetros!$B$65*(R47-M47-R47*(Parâmetros!$B$61+N47+Parâmetros!$B$78))),""))</f>
        <v/>
      </c>
      <c r="X47" s="11">
        <f>IF($B47="","",IF(ISNUMBER(R47),R47-M47-T47-U47-V47-W47,""))</f>
        <v/>
      </c>
      <c r="Y47" s="19">
        <f>IF($B47="","",IF(AND(ISNUMBER(R47),R47&gt;0),X47/R47,""))</f>
        <v/>
      </c>
      <c r="Z47" s="18">
        <f>IF($B47="","",IF(AND(ISNUMBER(R47),ISNUMBER(G47)),R47-G47,""))</f>
        <v/>
      </c>
      <c r="AA47" s="20">
        <f>IF($B47="","",IF(NOT(ISNUMBER(R47)),"Percentuais ≥ 100%",IF(N(D47)=0,"Sem tempo",IF(J47=0,"Sem materiais",""))))</f>
        <v/>
      </c>
    </row>
    <row r="48">
      <c r="A48" s="7" t="inlineStr">
        <is>
          <t>11.4</t>
        </is>
      </c>
      <c r="B48" s="7" t="inlineStr">
        <is>
          <t>Contenção tipo invisalign e 3x3</t>
        </is>
      </c>
      <c r="C48" s="7" t="inlineStr">
        <is>
          <t>Ortodontia</t>
        </is>
      </c>
      <c r="D48" s="7" t="n">
        <v>60</v>
      </c>
      <c r="E48" s="8" t="n">
        <v>0</v>
      </c>
      <c r="F48" s="8" t="n">
        <v>220</v>
      </c>
      <c r="G48" s="8" t="n">
        <v>800</v>
      </c>
      <c r="H48" s="13" t="n"/>
      <c r="I48" s="13" t="n"/>
      <c r="J48" s="18">
        <f>IF($B48="","",SUMIFS(Itens!$E$2:$E$158,Itens!$A$2:$A$158,$B48)+N(F48))</f>
        <v/>
      </c>
      <c r="K48" s="18">
        <f>IF($B48="","",N(D48)/60*Parâmetros!$B$57)</f>
        <v/>
      </c>
      <c r="L48" s="18">
        <f>IF($B48="","",N(D48)/60*Parâmetros!$B$60)</f>
        <v/>
      </c>
      <c r="M48" s="11">
        <f>IF($B48="","",J48+N(E48)+K48+L48)</f>
        <v/>
      </c>
      <c r="N48" s="19">
        <f>IF($B48="","",IF(H48="",Parâmetros!$B$62,H48))</f>
        <v/>
      </c>
      <c r="O48" s="19">
        <f>IF($B48="","",IF(I48="",Parâmetros!$B$63,I48))</f>
        <v/>
      </c>
      <c r="P48" s="18">
        <f>IF($B48="","",IF(1-(Parâmetros!$B$61+N48+Parâmetros!$B$78)-Parâmetros!$B$66-O48&lt;=0,"ERRO",M48/(1-(Parâmetros!$B$61+N48+Parâmetros!$B$78)-Parâmetros!$B$66-O48)))</f>
        <v/>
      </c>
      <c r="Q48" s="18">
        <f>IF($B48="","",IF((1-Parâmetros!$B$65)*(1-(Parâmetros!$B$61+N48+Parâmetros!$B$78))-O48&lt;=0,"ERRO",(1-Parâmetros!$B$65)*M48/((1-Parâmetros!$B$65)*(1-(Parâmetros!$B$61+N48+Parâmetros!$B$78))-O48)))</f>
        <v/>
      </c>
      <c r="R48" s="11">
        <f>IF($B48="","",IF(Parâmetros!$B$64=2,P48,Q48))</f>
        <v/>
      </c>
      <c r="S48" s="18">
        <f>IF($B48="","",IF(Parâmetros!$B$64=2,IF(1-(Parâmetros!$B$61+N48+Parâmetros!$B$78)-Parâmetros!$B$66&lt;=0,"ERRO",M48/(1-(Parâmetros!$B$61+N48+Parâmetros!$B$78)-Parâmetros!$B$66)),IF((1-Parâmetros!$B$65)*(1-(Parâmetros!$B$61+N48+Parâmetros!$B$78))&lt;=0,"ERRO",(1-Parâmetros!$B$65)*M48/((1-Parâmetros!$B$65)*(1-(Parâmetros!$B$61+N48+Parâmetros!$B$78))))))</f>
        <v/>
      </c>
      <c r="T48" s="18">
        <f>IF($B48="","",IF(ISNUMBER(R48),R48*Parâmetros!$B$61,""))</f>
        <v/>
      </c>
      <c r="U48" s="18">
        <f>IF($B48="","",IF(ISNUMBER(R48),R48*N48,""))</f>
        <v/>
      </c>
      <c r="V48" s="18">
        <f>IF($B48="","",IF(ISNUMBER(R48),R48*Parâmetros!$B$78,""))</f>
        <v/>
      </c>
      <c r="W48" s="18">
        <f>IF($B48="","",IF(ISNUMBER(R48),IF(Parâmetros!$B$64=2,R48*Parâmetros!$B$66,Parâmetros!$B$65*(R48-M48-R48*(Parâmetros!$B$61+N48+Parâmetros!$B$78))),""))</f>
        <v/>
      </c>
      <c r="X48" s="11">
        <f>IF($B48="","",IF(ISNUMBER(R48),R48-M48-T48-U48-V48-W48,""))</f>
        <v/>
      </c>
      <c r="Y48" s="19">
        <f>IF($B48="","",IF(AND(ISNUMBER(R48),R48&gt;0),X48/R48,""))</f>
        <v/>
      </c>
      <c r="Z48" s="18">
        <f>IF($B48="","",IF(AND(ISNUMBER(R48),ISNUMBER(G48)),R48-G48,""))</f>
        <v/>
      </c>
      <c r="AA48" s="20">
        <f>IF($B48="","",IF(NOT(ISNUMBER(R48)),"Percentuais ≥ 100%",IF(N(D48)=0,"Sem tempo",IF(J48=0,"Sem materiais",""))))</f>
        <v/>
      </c>
    </row>
    <row r="49">
      <c r="A49" s="7" t="inlineStr">
        <is>
          <t>12.0</t>
        </is>
      </c>
      <c r="B49" s="7" t="inlineStr">
        <is>
          <t>Aparelho haas</t>
        </is>
      </c>
      <c r="C49" s="7" t="inlineStr">
        <is>
          <t>Ortodontia</t>
        </is>
      </c>
      <c r="D49" s="7" t="n">
        <v>120</v>
      </c>
      <c r="E49" s="8" t="n">
        <v>0</v>
      </c>
      <c r="F49" s="8" t="n">
        <v>250</v>
      </c>
      <c r="G49" s="8" t="n">
        <v>700</v>
      </c>
      <c r="H49" s="13" t="n"/>
      <c r="I49" s="13" t="n"/>
      <c r="J49" s="18">
        <f>IF($B49="","",SUMIFS(Itens!$E$2:$E$158,Itens!$A$2:$A$158,$B49)+N(F49))</f>
        <v/>
      </c>
      <c r="K49" s="18">
        <f>IF($B49="","",N(D49)/60*Parâmetros!$B$57)</f>
        <v/>
      </c>
      <c r="L49" s="18">
        <f>IF($B49="","",N(D49)/60*Parâmetros!$B$60)</f>
        <v/>
      </c>
      <c r="M49" s="11">
        <f>IF($B49="","",J49+N(E49)+K49+L49)</f>
        <v/>
      </c>
      <c r="N49" s="19">
        <f>IF($B49="","",IF(H49="",Parâmetros!$B$62,H49))</f>
        <v/>
      </c>
      <c r="O49" s="19">
        <f>IF($B49="","",IF(I49="",Parâmetros!$B$63,I49))</f>
        <v/>
      </c>
      <c r="P49" s="18">
        <f>IF($B49="","",IF(1-(Parâmetros!$B$61+N49+Parâmetros!$B$78)-Parâmetros!$B$66-O49&lt;=0,"ERRO",M49/(1-(Parâmetros!$B$61+N49+Parâmetros!$B$78)-Parâmetros!$B$66-O49)))</f>
        <v/>
      </c>
      <c r="Q49" s="18">
        <f>IF($B49="","",IF((1-Parâmetros!$B$65)*(1-(Parâmetros!$B$61+N49+Parâmetros!$B$78))-O49&lt;=0,"ERRO",(1-Parâmetros!$B$65)*M49/((1-Parâmetros!$B$65)*(1-(Parâmetros!$B$61+N49+Parâmetros!$B$78))-O49)))</f>
        <v/>
      </c>
      <c r="R49" s="11">
        <f>IF($B49="","",IF(Parâmetros!$B$64=2,P49,Q49))</f>
        <v/>
      </c>
      <c r="S49" s="18">
        <f>IF($B49="","",IF(Parâmetros!$B$64=2,IF(1-(Parâmetros!$B$61+N49+Parâmetros!$B$78)-Parâmetros!$B$66&lt;=0,"ERRO",M49/(1-(Parâmetros!$B$61+N49+Parâmetros!$B$78)-Parâmetros!$B$66)),IF((1-Parâmetros!$B$65)*(1-(Parâmetros!$B$61+N49+Parâmetros!$B$78))&lt;=0,"ERRO",(1-Parâmetros!$B$65)*M49/((1-Parâmetros!$B$65)*(1-(Parâmetros!$B$61+N49+Parâmetros!$B$78))))))</f>
        <v/>
      </c>
      <c r="T49" s="18">
        <f>IF($B49="","",IF(ISNUMBER(R49),R49*Parâmetros!$B$61,""))</f>
        <v/>
      </c>
      <c r="U49" s="18">
        <f>IF($B49="","",IF(ISNUMBER(R49),R49*N49,""))</f>
        <v/>
      </c>
      <c r="V49" s="18">
        <f>IF($B49="","",IF(ISNUMBER(R49),R49*Parâmetros!$B$78,""))</f>
        <v/>
      </c>
      <c r="W49" s="18">
        <f>IF($B49="","",IF(ISNUMBER(R49),IF(Parâmetros!$B$64=2,R49*Parâmetros!$B$66,Parâmetros!$B$65*(R49-M49-R49*(Parâmetros!$B$61+N49+Parâmetros!$B$78))),""))</f>
        <v/>
      </c>
      <c r="X49" s="11">
        <f>IF($B49="","",IF(ISNUMBER(R49),R49-M49-T49-U49-V49-W49,""))</f>
        <v/>
      </c>
      <c r="Y49" s="19">
        <f>IF($B49="","",IF(AND(ISNUMBER(R49),R49&gt;0),X49/R49,""))</f>
        <v/>
      </c>
      <c r="Z49" s="18">
        <f>IF($B49="","",IF(AND(ISNUMBER(R49),ISNUMBER(G49)),R49-G49,""))</f>
        <v/>
      </c>
      <c r="AA49" s="20">
        <f>IF($B49="","",IF(NOT(ISNUMBER(R49)),"Percentuais ≥ 100%",IF(N(D49)=0,"Sem tempo",IF(J49=0,"Sem materiais",""))))</f>
        <v/>
      </c>
    </row>
    <row r="50">
      <c r="A50" s="7" t="inlineStr">
        <is>
          <t>12.1</t>
        </is>
      </c>
      <c r="B50" s="7" t="inlineStr">
        <is>
          <t>Aparelho haas com tração reversa</t>
        </is>
      </c>
      <c r="C50" s="7" t="inlineStr">
        <is>
          <t>Ortodontia</t>
        </is>
      </c>
      <c r="D50" s="7" t="n">
        <v>120</v>
      </c>
      <c r="E50" s="8" t="n">
        <v>0</v>
      </c>
      <c r="F50" s="8" t="n">
        <v>250</v>
      </c>
      <c r="G50" s="8" t="n">
        <v>700</v>
      </c>
      <c r="H50" s="13" t="n"/>
      <c r="I50" s="13" t="n"/>
      <c r="J50" s="18">
        <f>IF($B50="","",SUMIFS(Itens!$E$2:$E$158,Itens!$A$2:$A$158,$B50)+N(F50))</f>
        <v/>
      </c>
      <c r="K50" s="18">
        <f>IF($B50="","",N(D50)/60*Parâmetros!$B$57)</f>
        <v/>
      </c>
      <c r="L50" s="18">
        <f>IF($B50="","",N(D50)/60*Parâmetros!$B$60)</f>
        <v/>
      </c>
      <c r="M50" s="11">
        <f>IF($B50="","",J50+N(E50)+K50+L50)</f>
        <v/>
      </c>
      <c r="N50" s="19">
        <f>IF($B50="","",IF(H50="",Parâmetros!$B$62,H50))</f>
        <v/>
      </c>
      <c r="O50" s="19">
        <f>IF($B50="","",IF(I50="",Parâmetros!$B$63,I50))</f>
        <v/>
      </c>
      <c r="P50" s="18">
        <f>IF($B50="","",IF(1-(Parâmetros!$B$61+N50+Parâmetros!$B$78)-Parâmetros!$B$66-O50&lt;=0,"ERRO",M50/(1-(Parâmetros!$B$61+N50+Parâmetros!$B$78)-Parâmetros!$B$66-O50)))</f>
        <v/>
      </c>
      <c r="Q50" s="18">
        <f>IF($B50="","",IF((1-Parâmetros!$B$65)*(1-(Parâmetros!$B$61+N50+Parâmetros!$B$78))-O50&lt;=0,"ERRO",(1-Parâmetros!$B$65)*M50/((1-Parâmetros!$B$65)*(1-(Parâmetros!$B$61+N50+Parâmetros!$B$78))-O50)))</f>
        <v/>
      </c>
      <c r="R50" s="11">
        <f>IF($B50="","",IF(Parâmetros!$B$64=2,P50,Q50))</f>
        <v/>
      </c>
      <c r="S50" s="18">
        <f>IF($B50="","",IF(Parâmetros!$B$64=2,IF(1-(Parâmetros!$B$61+N50+Parâmetros!$B$78)-Parâmetros!$B$66&lt;=0,"ERRO",M50/(1-(Parâmetros!$B$61+N50+Parâmetros!$B$78)-Parâmetros!$B$66)),IF((1-Parâmetros!$B$65)*(1-(Parâmetros!$B$61+N50+Parâmetros!$B$78))&lt;=0,"ERRO",(1-Parâmetros!$B$65)*M50/((1-Parâmetros!$B$65)*(1-(Parâmetros!$B$61+N50+Parâmetros!$B$78))))))</f>
        <v/>
      </c>
      <c r="T50" s="18">
        <f>IF($B50="","",IF(ISNUMBER(R50),R50*Parâmetros!$B$61,""))</f>
        <v/>
      </c>
      <c r="U50" s="18">
        <f>IF($B50="","",IF(ISNUMBER(R50),R50*N50,""))</f>
        <v/>
      </c>
      <c r="V50" s="18">
        <f>IF($B50="","",IF(ISNUMBER(R50),R50*Parâmetros!$B$78,""))</f>
        <v/>
      </c>
      <c r="W50" s="18">
        <f>IF($B50="","",IF(ISNUMBER(R50),IF(Parâmetros!$B$64=2,R50*Parâmetros!$B$66,Parâmetros!$B$65*(R50-M50-R50*(Parâmetros!$B$61+N50+Parâmetros!$B$78))),""))</f>
        <v/>
      </c>
      <c r="X50" s="11">
        <f>IF($B50="","",IF(ISNUMBER(R50),R50-M50-T50-U50-V50-W50,""))</f>
        <v/>
      </c>
      <c r="Y50" s="19">
        <f>IF($B50="","",IF(AND(ISNUMBER(R50),R50&gt;0),X50/R50,""))</f>
        <v/>
      </c>
      <c r="Z50" s="18">
        <f>IF($B50="","",IF(AND(ISNUMBER(R50),ISNUMBER(G50)),R50-G50,""))</f>
        <v/>
      </c>
      <c r="AA50" s="20">
        <f>IF($B50="","",IF(NOT(ISNUMBER(R50)),"Percentuais ≥ 100%",IF(N(D50)=0,"Sem tempo",IF(J50=0,"Sem materiais",""))))</f>
        <v/>
      </c>
    </row>
    <row r="51">
      <c r="A51" s="7" t="inlineStr">
        <is>
          <t>12.2</t>
        </is>
      </c>
      <c r="B51" s="7" t="inlineStr">
        <is>
          <t>Aparelho máscara facial</t>
        </is>
      </c>
      <c r="C51" s="7" t="inlineStr">
        <is>
          <t>Ortodontia</t>
        </is>
      </c>
      <c r="D51" s="7" t="n">
        <v>30</v>
      </c>
      <c r="E51" s="8" t="n">
        <v>0</v>
      </c>
      <c r="F51" s="8" t="n">
        <v>49.8</v>
      </c>
      <c r="G51" s="8" t="n">
        <v>350</v>
      </c>
      <c r="H51" s="13" t="n"/>
      <c r="I51" s="13" t="n"/>
      <c r="J51" s="18">
        <f>IF($B51="","",SUMIFS(Itens!$E$2:$E$158,Itens!$A$2:$A$158,$B51)+N(F51))</f>
        <v/>
      </c>
      <c r="K51" s="18">
        <f>IF($B51="","",N(D51)/60*Parâmetros!$B$57)</f>
        <v/>
      </c>
      <c r="L51" s="18">
        <f>IF($B51="","",N(D51)/60*Parâmetros!$B$60)</f>
        <v/>
      </c>
      <c r="M51" s="11">
        <f>IF($B51="","",J51+N(E51)+K51+L51)</f>
        <v/>
      </c>
      <c r="N51" s="19">
        <f>IF($B51="","",IF(H51="",Parâmetros!$B$62,H51))</f>
        <v/>
      </c>
      <c r="O51" s="19">
        <f>IF($B51="","",IF(I51="",Parâmetros!$B$63,I51))</f>
        <v/>
      </c>
      <c r="P51" s="18">
        <f>IF($B51="","",IF(1-(Parâmetros!$B$61+N51+Parâmetros!$B$78)-Parâmetros!$B$66-O51&lt;=0,"ERRO",M51/(1-(Parâmetros!$B$61+N51+Parâmetros!$B$78)-Parâmetros!$B$66-O51)))</f>
        <v/>
      </c>
      <c r="Q51" s="18">
        <f>IF($B51="","",IF((1-Parâmetros!$B$65)*(1-(Parâmetros!$B$61+N51+Parâmetros!$B$78))-O51&lt;=0,"ERRO",(1-Parâmetros!$B$65)*M51/((1-Parâmetros!$B$65)*(1-(Parâmetros!$B$61+N51+Parâmetros!$B$78))-O51)))</f>
        <v/>
      </c>
      <c r="R51" s="11">
        <f>IF($B51="","",IF(Parâmetros!$B$64=2,P51,Q51))</f>
        <v/>
      </c>
      <c r="S51" s="18">
        <f>IF($B51="","",IF(Parâmetros!$B$64=2,IF(1-(Parâmetros!$B$61+N51+Parâmetros!$B$78)-Parâmetros!$B$66&lt;=0,"ERRO",M51/(1-(Parâmetros!$B$61+N51+Parâmetros!$B$78)-Parâmetros!$B$66)),IF((1-Parâmetros!$B$65)*(1-(Parâmetros!$B$61+N51+Parâmetros!$B$78))&lt;=0,"ERRO",(1-Parâmetros!$B$65)*M51/((1-Parâmetros!$B$65)*(1-(Parâmetros!$B$61+N51+Parâmetros!$B$78))))))</f>
        <v/>
      </c>
      <c r="T51" s="18">
        <f>IF($B51="","",IF(ISNUMBER(R51),R51*Parâmetros!$B$61,""))</f>
        <v/>
      </c>
      <c r="U51" s="18">
        <f>IF($B51="","",IF(ISNUMBER(R51),R51*N51,""))</f>
        <v/>
      </c>
      <c r="V51" s="18">
        <f>IF($B51="","",IF(ISNUMBER(R51),R51*Parâmetros!$B$78,""))</f>
        <v/>
      </c>
      <c r="W51" s="18">
        <f>IF($B51="","",IF(ISNUMBER(R51),IF(Parâmetros!$B$64=2,R51*Parâmetros!$B$66,Parâmetros!$B$65*(R51-M51-R51*(Parâmetros!$B$61+N51+Parâmetros!$B$78))),""))</f>
        <v/>
      </c>
      <c r="X51" s="11">
        <f>IF($B51="","",IF(ISNUMBER(R51),R51-M51-T51-U51-V51-W51,""))</f>
        <v/>
      </c>
      <c r="Y51" s="19">
        <f>IF($B51="","",IF(AND(ISNUMBER(R51),R51&gt;0),X51/R51,""))</f>
        <v/>
      </c>
      <c r="Z51" s="18">
        <f>IF($B51="","",IF(AND(ISNUMBER(R51),ISNUMBER(G51)),R51-G51,""))</f>
        <v/>
      </c>
      <c r="AA51" s="20">
        <f>IF($B51="","",IF(NOT(ISNUMBER(R51)),"Percentuais ≥ 100%",IF(N(D51)=0,"Sem tempo",IF(J51=0,"Sem materiais",""))))</f>
        <v/>
      </c>
    </row>
    <row r="52">
      <c r="A52" s="7" t="inlineStr">
        <is>
          <t>12.3</t>
        </is>
      </c>
      <c r="B52" s="7" t="inlineStr">
        <is>
          <t>Aparelho bionator</t>
        </is>
      </c>
      <c r="C52" s="7" t="inlineStr">
        <is>
          <t>Ortodontia</t>
        </is>
      </c>
      <c r="D52" s="7" t="n">
        <v>60</v>
      </c>
      <c r="E52" s="8" t="n">
        <v>0</v>
      </c>
      <c r="F52" s="8" t="n">
        <v>280</v>
      </c>
      <c r="G52" s="8" t="n">
        <v>700</v>
      </c>
      <c r="H52" s="13" t="n"/>
      <c r="I52" s="13" t="n"/>
      <c r="J52" s="18">
        <f>IF($B52="","",SUMIFS(Itens!$E$2:$E$158,Itens!$A$2:$A$158,$B52)+N(F52))</f>
        <v/>
      </c>
      <c r="K52" s="18">
        <f>IF($B52="","",N(D52)/60*Parâmetros!$B$57)</f>
        <v/>
      </c>
      <c r="L52" s="18">
        <f>IF($B52="","",N(D52)/60*Parâmetros!$B$60)</f>
        <v/>
      </c>
      <c r="M52" s="11">
        <f>IF($B52="","",J52+N(E52)+K52+L52)</f>
        <v/>
      </c>
      <c r="N52" s="19">
        <f>IF($B52="","",IF(H52="",Parâmetros!$B$62,H52))</f>
        <v/>
      </c>
      <c r="O52" s="19">
        <f>IF($B52="","",IF(I52="",Parâmetros!$B$63,I52))</f>
        <v/>
      </c>
      <c r="P52" s="18">
        <f>IF($B52="","",IF(1-(Parâmetros!$B$61+N52+Parâmetros!$B$78)-Parâmetros!$B$66-O52&lt;=0,"ERRO",M52/(1-(Parâmetros!$B$61+N52+Parâmetros!$B$78)-Parâmetros!$B$66-O52)))</f>
        <v/>
      </c>
      <c r="Q52" s="18">
        <f>IF($B52="","",IF((1-Parâmetros!$B$65)*(1-(Parâmetros!$B$61+N52+Parâmetros!$B$78))-O52&lt;=0,"ERRO",(1-Parâmetros!$B$65)*M52/((1-Parâmetros!$B$65)*(1-(Parâmetros!$B$61+N52+Parâmetros!$B$78))-O52)))</f>
        <v/>
      </c>
      <c r="R52" s="11">
        <f>IF($B52="","",IF(Parâmetros!$B$64=2,P52,Q52))</f>
        <v/>
      </c>
      <c r="S52" s="18">
        <f>IF($B52="","",IF(Parâmetros!$B$64=2,IF(1-(Parâmetros!$B$61+N52+Parâmetros!$B$78)-Parâmetros!$B$66&lt;=0,"ERRO",M52/(1-(Parâmetros!$B$61+N52+Parâmetros!$B$78)-Parâmetros!$B$66)),IF((1-Parâmetros!$B$65)*(1-(Parâmetros!$B$61+N52+Parâmetros!$B$78))&lt;=0,"ERRO",(1-Parâmetros!$B$65)*M52/((1-Parâmetros!$B$65)*(1-(Parâmetros!$B$61+N52+Parâmetros!$B$78))))))</f>
        <v/>
      </c>
      <c r="T52" s="18">
        <f>IF($B52="","",IF(ISNUMBER(R52),R52*Parâmetros!$B$61,""))</f>
        <v/>
      </c>
      <c r="U52" s="18">
        <f>IF($B52="","",IF(ISNUMBER(R52),R52*N52,""))</f>
        <v/>
      </c>
      <c r="V52" s="18">
        <f>IF($B52="","",IF(ISNUMBER(R52),R52*Parâmetros!$B$78,""))</f>
        <v/>
      </c>
      <c r="W52" s="18">
        <f>IF($B52="","",IF(ISNUMBER(R52),IF(Parâmetros!$B$64=2,R52*Parâmetros!$B$66,Parâmetros!$B$65*(R52-M52-R52*(Parâmetros!$B$61+N52+Parâmetros!$B$78))),""))</f>
        <v/>
      </c>
      <c r="X52" s="11">
        <f>IF($B52="","",IF(ISNUMBER(R52),R52-M52-T52-U52-V52-W52,""))</f>
        <v/>
      </c>
      <c r="Y52" s="19">
        <f>IF($B52="","",IF(AND(ISNUMBER(R52),R52&gt;0),X52/R52,""))</f>
        <v/>
      </c>
      <c r="Z52" s="18">
        <f>IF($B52="","",IF(AND(ISNUMBER(R52),ISNUMBER(G52)),R52-G52,""))</f>
        <v/>
      </c>
      <c r="AA52" s="20">
        <f>IF($B52="","",IF(NOT(ISNUMBER(R52)),"Percentuais ≥ 100%",IF(N(D52)=0,"Sem tempo",IF(J52=0,"Sem materiais",""))))</f>
        <v/>
      </c>
    </row>
    <row r="53">
      <c r="A53" s="7" t="inlineStr">
        <is>
          <t>100.0</t>
        </is>
      </c>
      <c r="B53" s="7" t="inlineStr">
        <is>
          <t>Preenchimento labial 1 seringa rennova fill</t>
        </is>
      </c>
      <c r="C53" s="7" t="inlineStr">
        <is>
          <t>HOF</t>
        </is>
      </c>
      <c r="D53" s="7" t="n">
        <v>90</v>
      </c>
      <c r="E53" s="8" t="n">
        <v>0</v>
      </c>
      <c r="F53" s="8" t="n">
        <v>450</v>
      </c>
      <c r="G53" s="8" t="n">
        <v>880</v>
      </c>
      <c r="H53" s="13" t="n"/>
      <c r="I53" s="13" t="n">
        <v>0.2</v>
      </c>
      <c r="J53" s="18">
        <f>IF($B53="","",SUMIFS(Itens!$E$2:$E$158,Itens!$A$2:$A$158,$B53)+N(F53))</f>
        <v/>
      </c>
      <c r="K53" s="18">
        <f>IF($B53="","",N(D53)/60*Parâmetros!$B$57)</f>
        <v/>
      </c>
      <c r="L53" s="18">
        <f>IF($B53="","",N(D53)/60*Parâmetros!$B$60)</f>
        <v/>
      </c>
      <c r="M53" s="11">
        <f>IF($B53="","",J53+N(E53)+K53+L53)</f>
        <v/>
      </c>
      <c r="N53" s="19">
        <f>IF($B53="","",IF(H53="",Parâmetros!$B$62,H53))</f>
        <v/>
      </c>
      <c r="O53" s="19">
        <f>IF($B53="","",IF(I53="",Parâmetros!$B$63,I53))</f>
        <v/>
      </c>
      <c r="P53" s="18">
        <f>IF($B53="","",IF(1-(Parâmetros!$B$61+N53+Parâmetros!$B$78)-Parâmetros!$B$66-O53&lt;=0,"ERRO",M53/(1-(Parâmetros!$B$61+N53+Parâmetros!$B$78)-Parâmetros!$B$66-O53)))</f>
        <v/>
      </c>
      <c r="Q53" s="18">
        <f>IF($B53="","",IF((1-Parâmetros!$B$65)*(1-(Parâmetros!$B$61+N53+Parâmetros!$B$78))-O53&lt;=0,"ERRO",(1-Parâmetros!$B$65)*M53/((1-Parâmetros!$B$65)*(1-(Parâmetros!$B$61+N53+Parâmetros!$B$78))-O53)))</f>
        <v/>
      </c>
      <c r="R53" s="11">
        <f>IF($B53="","",IF(Parâmetros!$B$64=2,P53,Q53))</f>
        <v/>
      </c>
      <c r="S53" s="18">
        <f>IF($B53="","",IF(Parâmetros!$B$64=2,IF(1-(Parâmetros!$B$61+N53+Parâmetros!$B$78)-Parâmetros!$B$66&lt;=0,"ERRO",M53/(1-(Parâmetros!$B$61+N53+Parâmetros!$B$78)-Parâmetros!$B$66)),IF((1-Parâmetros!$B$65)*(1-(Parâmetros!$B$61+N53+Parâmetros!$B$78))&lt;=0,"ERRO",(1-Parâmetros!$B$65)*M53/((1-Parâmetros!$B$65)*(1-(Parâmetros!$B$61+N53+Parâmetros!$B$78))))))</f>
        <v/>
      </c>
      <c r="T53" s="18">
        <f>IF($B53="","",IF(ISNUMBER(R53),R53*Parâmetros!$B$61,""))</f>
        <v/>
      </c>
      <c r="U53" s="18">
        <f>IF($B53="","",IF(ISNUMBER(R53),R53*N53,""))</f>
        <v/>
      </c>
      <c r="V53" s="18">
        <f>IF($B53="","",IF(ISNUMBER(R53),R53*Parâmetros!$B$78,""))</f>
        <v/>
      </c>
      <c r="W53" s="18">
        <f>IF($B53="","",IF(ISNUMBER(R53),IF(Parâmetros!$B$64=2,R53*Parâmetros!$B$66,Parâmetros!$B$65*(R53-M53-R53*(Parâmetros!$B$61+N53+Parâmetros!$B$78))),""))</f>
        <v/>
      </c>
      <c r="X53" s="11">
        <f>IF($B53="","",IF(ISNUMBER(R53),R53-M53-T53-U53-V53-W53,""))</f>
        <v/>
      </c>
      <c r="Y53" s="19">
        <f>IF($B53="","",IF(AND(ISNUMBER(R53),R53&gt;0),X53/R53,""))</f>
        <v/>
      </c>
      <c r="Z53" s="18">
        <f>IF($B53="","",IF(AND(ISNUMBER(R53),ISNUMBER(G53)),R53-G53,""))</f>
        <v/>
      </c>
      <c r="AA53" s="20">
        <f>IF($B53="","",IF(NOT(ISNUMBER(R53)),"Percentuais ≥ 100%",IF(N(D53)=0,"Sem tempo",IF(J53=0,"Sem materiais",""))))</f>
        <v/>
      </c>
    </row>
    <row r="54">
      <c r="A54" s="7" t="inlineStr">
        <is>
          <t>100.1</t>
        </is>
      </c>
      <c r="B54" s="7" t="inlineStr">
        <is>
          <t>Preenchimento labial 1 seringa kissye restylane</t>
        </is>
      </c>
      <c r="C54" s="7" t="inlineStr">
        <is>
          <t>HOF</t>
        </is>
      </c>
      <c r="D54" s="7" t="n">
        <v>90</v>
      </c>
      <c r="E54" s="8" t="n">
        <v>0</v>
      </c>
      <c r="F54" s="8" t="n">
        <v>550</v>
      </c>
      <c r="G54" s="8" t="n">
        <v>1200</v>
      </c>
      <c r="H54" s="13" t="n"/>
      <c r="I54" s="13" t="n">
        <v>0.2</v>
      </c>
      <c r="J54" s="18">
        <f>IF($B54="","",SUMIFS(Itens!$E$2:$E$158,Itens!$A$2:$A$158,$B54)+N(F54))</f>
        <v/>
      </c>
      <c r="K54" s="18">
        <f>IF($B54="","",N(D54)/60*Parâmetros!$B$57)</f>
        <v/>
      </c>
      <c r="L54" s="18">
        <f>IF($B54="","",N(D54)/60*Parâmetros!$B$60)</f>
        <v/>
      </c>
      <c r="M54" s="11">
        <f>IF($B54="","",J54+N(E54)+K54+L54)</f>
        <v/>
      </c>
      <c r="N54" s="19">
        <f>IF($B54="","",IF(H54="",Parâmetros!$B$62,H54))</f>
        <v/>
      </c>
      <c r="O54" s="19">
        <f>IF($B54="","",IF(I54="",Parâmetros!$B$63,I54))</f>
        <v/>
      </c>
      <c r="P54" s="18">
        <f>IF($B54="","",IF(1-(Parâmetros!$B$61+N54+Parâmetros!$B$78)-Parâmetros!$B$66-O54&lt;=0,"ERRO",M54/(1-(Parâmetros!$B$61+N54+Parâmetros!$B$78)-Parâmetros!$B$66-O54)))</f>
        <v/>
      </c>
      <c r="Q54" s="18">
        <f>IF($B54="","",IF((1-Parâmetros!$B$65)*(1-(Parâmetros!$B$61+N54+Parâmetros!$B$78))-O54&lt;=0,"ERRO",(1-Parâmetros!$B$65)*M54/((1-Parâmetros!$B$65)*(1-(Parâmetros!$B$61+N54+Parâmetros!$B$78))-O54)))</f>
        <v/>
      </c>
      <c r="R54" s="11">
        <f>IF($B54="","",IF(Parâmetros!$B$64=2,P54,Q54))</f>
        <v/>
      </c>
      <c r="S54" s="18">
        <f>IF($B54="","",IF(Parâmetros!$B$64=2,IF(1-(Parâmetros!$B$61+N54+Parâmetros!$B$78)-Parâmetros!$B$66&lt;=0,"ERRO",M54/(1-(Parâmetros!$B$61+N54+Parâmetros!$B$78)-Parâmetros!$B$66)),IF((1-Parâmetros!$B$65)*(1-(Parâmetros!$B$61+N54+Parâmetros!$B$78))&lt;=0,"ERRO",(1-Parâmetros!$B$65)*M54/((1-Parâmetros!$B$65)*(1-(Parâmetros!$B$61+N54+Parâmetros!$B$78))))))</f>
        <v/>
      </c>
      <c r="T54" s="18">
        <f>IF($B54="","",IF(ISNUMBER(R54),R54*Parâmetros!$B$61,""))</f>
        <v/>
      </c>
      <c r="U54" s="18">
        <f>IF($B54="","",IF(ISNUMBER(R54),R54*N54,""))</f>
        <v/>
      </c>
      <c r="V54" s="18">
        <f>IF($B54="","",IF(ISNUMBER(R54),R54*Parâmetros!$B$78,""))</f>
        <v/>
      </c>
      <c r="W54" s="18">
        <f>IF($B54="","",IF(ISNUMBER(R54),IF(Parâmetros!$B$64=2,R54*Parâmetros!$B$66,Parâmetros!$B$65*(R54-M54-R54*(Parâmetros!$B$61+N54+Parâmetros!$B$78))),""))</f>
        <v/>
      </c>
      <c r="X54" s="11">
        <f>IF($B54="","",IF(ISNUMBER(R54),R54-M54-T54-U54-V54-W54,""))</f>
        <v/>
      </c>
      <c r="Y54" s="19">
        <f>IF($B54="","",IF(AND(ISNUMBER(R54),R54&gt;0),X54/R54,""))</f>
        <v/>
      </c>
      <c r="Z54" s="18">
        <f>IF($B54="","",IF(AND(ISNUMBER(R54),ISNUMBER(G54)),R54-G54,""))</f>
        <v/>
      </c>
      <c r="AA54" s="20">
        <f>IF($B54="","",IF(NOT(ISNUMBER(R54)),"Percentuais ≥ 100%",IF(N(D54)=0,"Sem tempo",IF(J54=0,"Sem materiais",""))))</f>
        <v/>
      </c>
    </row>
    <row r="55">
      <c r="A55" s="7" t="inlineStr">
        <is>
          <t>100.2</t>
        </is>
      </c>
      <c r="B55" s="7" t="inlineStr">
        <is>
          <t>Seringa preenchedor rennova lift</t>
        </is>
      </c>
      <c r="C55" s="7" t="inlineStr">
        <is>
          <t>HOF</t>
        </is>
      </c>
      <c r="D55" s="7" t="n">
        <v>90</v>
      </c>
      <c r="E55" s="8" t="n">
        <v>0</v>
      </c>
      <c r="F55" s="8" t="n">
        <v>450</v>
      </c>
      <c r="G55" s="8" t="n">
        <v>880</v>
      </c>
      <c r="H55" s="13" t="n"/>
      <c r="I55" s="13" t="n">
        <v>0.2</v>
      </c>
      <c r="J55" s="18">
        <f>IF($B55="","",SUMIFS(Itens!$E$2:$E$158,Itens!$A$2:$A$158,$B55)+N(F55))</f>
        <v/>
      </c>
      <c r="K55" s="18">
        <f>IF($B55="","",N(D55)/60*Parâmetros!$B$57)</f>
        <v/>
      </c>
      <c r="L55" s="18">
        <f>IF($B55="","",N(D55)/60*Parâmetros!$B$60)</f>
        <v/>
      </c>
      <c r="M55" s="11">
        <f>IF($B55="","",J55+N(E55)+K55+L55)</f>
        <v/>
      </c>
      <c r="N55" s="19">
        <f>IF($B55="","",IF(H55="",Parâmetros!$B$62,H55))</f>
        <v/>
      </c>
      <c r="O55" s="19">
        <f>IF($B55="","",IF(I55="",Parâmetros!$B$63,I55))</f>
        <v/>
      </c>
      <c r="P55" s="18">
        <f>IF($B55="","",IF(1-(Parâmetros!$B$61+N55+Parâmetros!$B$78)-Parâmetros!$B$66-O55&lt;=0,"ERRO",M55/(1-(Parâmetros!$B$61+N55+Parâmetros!$B$78)-Parâmetros!$B$66-O55)))</f>
        <v/>
      </c>
      <c r="Q55" s="18">
        <f>IF($B55="","",IF((1-Parâmetros!$B$65)*(1-(Parâmetros!$B$61+N55+Parâmetros!$B$78))-O55&lt;=0,"ERRO",(1-Parâmetros!$B$65)*M55/((1-Parâmetros!$B$65)*(1-(Parâmetros!$B$61+N55+Parâmetros!$B$78))-O55)))</f>
        <v/>
      </c>
      <c r="R55" s="11">
        <f>IF($B55="","",IF(Parâmetros!$B$64=2,P55,Q55))</f>
        <v/>
      </c>
      <c r="S55" s="18">
        <f>IF($B55="","",IF(Parâmetros!$B$64=2,IF(1-(Parâmetros!$B$61+N55+Parâmetros!$B$78)-Parâmetros!$B$66&lt;=0,"ERRO",M55/(1-(Parâmetros!$B$61+N55+Parâmetros!$B$78)-Parâmetros!$B$66)),IF((1-Parâmetros!$B$65)*(1-(Parâmetros!$B$61+N55+Parâmetros!$B$78))&lt;=0,"ERRO",(1-Parâmetros!$B$65)*M55/((1-Parâmetros!$B$65)*(1-(Parâmetros!$B$61+N55+Parâmetros!$B$78))))))</f>
        <v/>
      </c>
      <c r="T55" s="18">
        <f>IF($B55="","",IF(ISNUMBER(R55),R55*Parâmetros!$B$61,""))</f>
        <v/>
      </c>
      <c r="U55" s="18">
        <f>IF($B55="","",IF(ISNUMBER(R55),R55*N55,""))</f>
        <v/>
      </c>
      <c r="V55" s="18">
        <f>IF($B55="","",IF(ISNUMBER(R55),R55*Parâmetros!$B$78,""))</f>
        <v/>
      </c>
      <c r="W55" s="18">
        <f>IF($B55="","",IF(ISNUMBER(R55),IF(Parâmetros!$B$64=2,R55*Parâmetros!$B$66,Parâmetros!$B$65*(R55-M55-R55*(Parâmetros!$B$61+N55+Parâmetros!$B$78))),""))</f>
        <v/>
      </c>
      <c r="X55" s="11">
        <f>IF($B55="","",IF(ISNUMBER(R55),R55-M55-T55-U55-V55-W55,""))</f>
        <v/>
      </c>
      <c r="Y55" s="19">
        <f>IF($B55="","",IF(AND(ISNUMBER(R55),R55&gt;0),X55/R55,""))</f>
        <v/>
      </c>
      <c r="Z55" s="18">
        <f>IF($B55="","",IF(AND(ISNUMBER(R55),ISNUMBER(G55)),R55-G55,""))</f>
        <v/>
      </c>
      <c r="AA55" s="20">
        <f>IF($B55="","",IF(NOT(ISNUMBER(R55)),"Percentuais ≥ 100%",IF(N(D55)=0,"Sem tempo",IF(J55=0,"Sem materiais",""))))</f>
        <v/>
      </c>
    </row>
    <row r="56">
      <c r="A56" s="7" t="inlineStr">
        <is>
          <t>100.3</t>
        </is>
      </c>
      <c r="B56" s="7" t="inlineStr">
        <is>
          <t>Seringa preenchedor restylane</t>
        </is>
      </c>
      <c r="C56" s="7" t="inlineStr">
        <is>
          <t>HOF</t>
        </is>
      </c>
      <c r="D56" s="7" t="n">
        <v>90</v>
      </c>
      <c r="E56" s="8" t="n">
        <v>0</v>
      </c>
      <c r="F56" s="8" t="n">
        <v>450</v>
      </c>
      <c r="G56" s="8" t="n">
        <v>1200</v>
      </c>
      <c r="H56" s="13" t="n"/>
      <c r="I56" s="13" t="n">
        <v>0.2</v>
      </c>
      <c r="J56" s="18">
        <f>IF($B56="","",SUMIFS(Itens!$E$2:$E$158,Itens!$A$2:$A$158,$B56)+N(F56))</f>
        <v/>
      </c>
      <c r="K56" s="18">
        <f>IF($B56="","",N(D56)/60*Parâmetros!$B$57)</f>
        <v/>
      </c>
      <c r="L56" s="18">
        <f>IF($B56="","",N(D56)/60*Parâmetros!$B$60)</f>
        <v/>
      </c>
      <c r="M56" s="11">
        <f>IF($B56="","",J56+N(E56)+K56+L56)</f>
        <v/>
      </c>
      <c r="N56" s="19">
        <f>IF($B56="","",IF(H56="",Parâmetros!$B$62,H56))</f>
        <v/>
      </c>
      <c r="O56" s="19">
        <f>IF($B56="","",IF(I56="",Parâmetros!$B$63,I56))</f>
        <v/>
      </c>
      <c r="P56" s="18">
        <f>IF($B56="","",IF(1-(Parâmetros!$B$61+N56+Parâmetros!$B$78)-Parâmetros!$B$66-O56&lt;=0,"ERRO",M56/(1-(Parâmetros!$B$61+N56+Parâmetros!$B$78)-Parâmetros!$B$66-O56)))</f>
        <v/>
      </c>
      <c r="Q56" s="18">
        <f>IF($B56="","",IF((1-Parâmetros!$B$65)*(1-(Parâmetros!$B$61+N56+Parâmetros!$B$78))-O56&lt;=0,"ERRO",(1-Parâmetros!$B$65)*M56/((1-Parâmetros!$B$65)*(1-(Parâmetros!$B$61+N56+Parâmetros!$B$78))-O56)))</f>
        <v/>
      </c>
      <c r="R56" s="11">
        <f>IF($B56="","",IF(Parâmetros!$B$64=2,P56,Q56))</f>
        <v/>
      </c>
      <c r="S56" s="18">
        <f>IF($B56="","",IF(Parâmetros!$B$64=2,IF(1-(Parâmetros!$B$61+N56+Parâmetros!$B$78)-Parâmetros!$B$66&lt;=0,"ERRO",M56/(1-(Parâmetros!$B$61+N56+Parâmetros!$B$78)-Parâmetros!$B$66)),IF((1-Parâmetros!$B$65)*(1-(Parâmetros!$B$61+N56+Parâmetros!$B$78))&lt;=0,"ERRO",(1-Parâmetros!$B$65)*M56/((1-Parâmetros!$B$65)*(1-(Parâmetros!$B$61+N56+Parâmetros!$B$78))))))</f>
        <v/>
      </c>
      <c r="T56" s="18">
        <f>IF($B56="","",IF(ISNUMBER(R56),R56*Parâmetros!$B$61,""))</f>
        <v/>
      </c>
      <c r="U56" s="18">
        <f>IF($B56="","",IF(ISNUMBER(R56),R56*N56,""))</f>
        <v/>
      </c>
      <c r="V56" s="18">
        <f>IF($B56="","",IF(ISNUMBER(R56),R56*Parâmetros!$B$78,""))</f>
        <v/>
      </c>
      <c r="W56" s="18">
        <f>IF($B56="","",IF(ISNUMBER(R56),IF(Parâmetros!$B$64=2,R56*Parâmetros!$B$66,Parâmetros!$B$65*(R56-M56-R56*(Parâmetros!$B$61+N56+Parâmetros!$B$78))),""))</f>
        <v/>
      </c>
      <c r="X56" s="11">
        <f>IF($B56="","",IF(ISNUMBER(R56),R56-M56-T56-U56-V56-W56,""))</f>
        <v/>
      </c>
      <c r="Y56" s="19">
        <f>IF($B56="","",IF(AND(ISNUMBER(R56),R56&gt;0),X56/R56,""))</f>
        <v/>
      </c>
      <c r="Z56" s="18">
        <f>IF($B56="","",IF(AND(ISNUMBER(R56),ISNUMBER(G56)),R56-G56,""))</f>
        <v/>
      </c>
      <c r="AA56" s="20">
        <f>IF($B56="","",IF(NOT(ISNUMBER(R56)),"Percentuais ≥ 100%",IF(N(D56)=0,"Sem tempo",IF(J56=0,"Sem materiais",""))))</f>
        <v/>
      </c>
    </row>
    <row r="57">
      <c r="A57" s="7" t="n"/>
      <c r="B57" s="7" t="inlineStr">
        <is>
          <t>Seringa preenchedor deep perfetha</t>
        </is>
      </c>
      <c r="C57" s="7" t="inlineStr">
        <is>
          <t>HOF</t>
        </is>
      </c>
      <c r="D57" s="7" t="n">
        <v>90</v>
      </c>
      <c r="E57" s="8" t="n">
        <v>0</v>
      </c>
      <c r="F57" s="8" t="n">
        <v>450</v>
      </c>
      <c r="G57" s="8" t="n">
        <v>1200</v>
      </c>
      <c r="H57" s="13" t="n"/>
      <c r="I57" s="13" t="n">
        <v>0.2</v>
      </c>
      <c r="J57" s="18">
        <f>IF($B57="","",SUMIFS(Itens!$E$2:$E$158,Itens!$A$2:$A$158,$B57)+N(F57))</f>
        <v/>
      </c>
      <c r="K57" s="18">
        <f>IF($B57="","",N(D57)/60*Parâmetros!$B$57)</f>
        <v/>
      </c>
      <c r="L57" s="18">
        <f>IF($B57="","",N(D57)/60*Parâmetros!$B$60)</f>
        <v/>
      </c>
      <c r="M57" s="11">
        <f>IF($B57="","",J57+N(E57)+K57+L57)</f>
        <v/>
      </c>
      <c r="N57" s="19">
        <f>IF($B57="","",IF(H57="",Parâmetros!$B$62,H57))</f>
        <v/>
      </c>
      <c r="O57" s="19">
        <f>IF($B57="","",IF(I57="",Parâmetros!$B$63,I57))</f>
        <v/>
      </c>
      <c r="P57" s="18">
        <f>IF($B57="","",IF(1-(Parâmetros!$B$61+N57+Parâmetros!$B$78)-Parâmetros!$B$66-O57&lt;=0,"ERRO",M57/(1-(Parâmetros!$B$61+N57+Parâmetros!$B$78)-Parâmetros!$B$66-O57)))</f>
        <v/>
      </c>
      <c r="Q57" s="18">
        <f>IF($B57="","",IF((1-Parâmetros!$B$65)*(1-(Parâmetros!$B$61+N57+Parâmetros!$B$78))-O57&lt;=0,"ERRO",(1-Parâmetros!$B$65)*M57/((1-Parâmetros!$B$65)*(1-(Parâmetros!$B$61+N57+Parâmetros!$B$78))-O57)))</f>
        <v/>
      </c>
      <c r="R57" s="11">
        <f>IF($B57="","",IF(Parâmetros!$B$64=2,P57,Q57))</f>
        <v/>
      </c>
      <c r="S57" s="18">
        <f>IF($B57="","",IF(Parâmetros!$B$64=2,IF(1-(Parâmetros!$B$61+N57+Parâmetros!$B$78)-Parâmetros!$B$66&lt;=0,"ERRO",M57/(1-(Parâmetros!$B$61+N57+Parâmetros!$B$78)-Parâmetros!$B$66)),IF((1-Parâmetros!$B$65)*(1-(Parâmetros!$B$61+N57+Parâmetros!$B$78))&lt;=0,"ERRO",(1-Parâmetros!$B$65)*M57/((1-Parâmetros!$B$65)*(1-(Parâmetros!$B$61+N57+Parâmetros!$B$78))))))</f>
        <v/>
      </c>
      <c r="T57" s="18">
        <f>IF($B57="","",IF(ISNUMBER(R57),R57*Parâmetros!$B$61,""))</f>
        <v/>
      </c>
      <c r="U57" s="18">
        <f>IF($B57="","",IF(ISNUMBER(R57),R57*N57,""))</f>
        <v/>
      </c>
      <c r="V57" s="18">
        <f>IF($B57="","",IF(ISNUMBER(R57),R57*Parâmetros!$B$78,""))</f>
        <v/>
      </c>
      <c r="W57" s="18">
        <f>IF($B57="","",IF(ISNUMBER(R57),IF(Parâmetros!$B$64=2,R57*Parâmetros!$B$66,Parâmetros!$B$65*(R57-M57-R57*(Parâmetros!$B$61+N57+Parâmetros!$B$78))),""))</f>
        <v/>
      </c>
      <c r="X57" s="11">
        <f>IF($B57="","",IF(ISNUMBER(R57),R57-M57-T57-U57-V57-W57,""))</f>
        <v/>
      </c>
      <c r="Y57" s="19">
        <f>IF($B57="","",IF(AND(ISNUMBER(R57),R57&gt;0),X57/R57,""))</f>
        <v/>
      </c>
      <c r="Z57" s="18">
        <f>IF($B57="","",IF(AND(ISNUMBER(R57),ISNUMBER(G57)),R57-G57,""))</f>
        <v/>
      </c>
      <c r="AA57" s="20">
        <f>IF($B57="","",IF(NOT(ISNUMBER(R57)),"Percentuais ≥ 100%",IF(N(D57)=0,"Sem tempo",IF(J57=0,"Sem materiais",""))))</f>
        <v/>
      </c>
    </row>
    <row r="58">
      <c r="A58" s="7" t="n"/>
      <c r="B58" s="7" t="inlineStr">
        <is>
          <t>Seringa ellanse</t>
        </is>
      </c>
      <c r="C58" s="7" t="inlineStr">
        <is>
          <t>HOF</t>
        </is>
      </c>
      <c r="D58" s="7" t="n">
        <v>0</v>
      </c>
      <c r="E58" s="8" t="n">
        <v>0</v>
      </c>
      <c r="F58" s="8" t="n">
        <v>0</v>
      </c>
      <c r="G58" s="8" t="n">
        <v>1200</v>
      </c>
      <c r="H58" s="13" t="n"/>
      <c r="I58" s="13" t="n">
        <v>0.2</v>
      </c>
      <c r="J58" s="18">
        <f>IF($B58="","",SUMIFS(Itens!$E$2:$E$158,Itens!$A$2:$A$158,$B58)+N(F58))</f>
        <v/>
      </c>
      <c r="K58" s="18">
        <f>IF($B58="","",N(D58)/60*Parâmetros!$B$57)</f>
        <v/>
      </c>
      <c r="L58" s="18">
        <f>IF($B58="","",N(D58)/60*Parâmetros!$B$60)</f>
        <v/>
      </c>
      <c r="M58" s="11">
        <f>IF($B58="","",J58+N(E58)+K58+L58)</f>
        <v/>
      </c>
      <c r="N58" s="19">
        <f>IF($B58="","",IF(H58="",Parâmetros!$B$62,H58))</f>
        <v/>
      </c>
      <c r="O58" s="19">
        <f>IF($B58="","",IF(I58="",Parâmetros!$B$63,I58))</f>
        <v/>
      </c>
      <c r="P58" s="18">
        <f>IF($B58="","",IF(1-(Parâmetros!$B$61+N58+Parâmetros!$B$78)-Parâmetros!$B$66-O58&lt;=0,"ERRO",M58/(1-(Parâmetros!$B$61+N58+Parâmetros!$B$78)-Parâmetros!$B$66-O58)))</f>
        <v/>
      </c>
      <c r="Q58" s="18">
        <f>IF($B58="","",IF((1-Parâmetros!$B$65)*(1-(Parâmetros!$B$61+N58+Parâmetros!$B$78))-O58&lt;=0,"ERRO",(1-Parâmetros!$B$65)*M58/((1-Parâmetros!$B$65)*(1-(Parâmetros!$B$61+N58+Parâmetros!$B$78))-O58)))</f>
        <v/>
      </c>
      <c r="R58" s="11">
        <f>IF($B58="","",IF(Parâmetros!$B$64=2,P58,Q58))</f>
        <v/>
      </c>
      <c r="S58" s="18">
        <f>IF($B58="","",IF(Parâmetros!$B$64=2,IF(1-(Parâmetros!$B$61+N58+Parâmetros!$B$78)-Parâmetros!$B$66&lt;=0,"ERRO",M58/(1-(Parâmetros!$B$61+N58+Parâmetros!$B$78)-Parâmetros!$B$66)),IF((1-Parâmetros!$B$65)*(1-(Parâmetros!$B$61+N58+Parâmetros!$B$78))&lt;=0,"ERRO",(1-Parâmetros!$B$65)*M58/((1-Parâmetros!$B$65)*(1-(Parâmetros!$B$61+N58+Parâmetros!$B$78))))))</f>
        <v/>
      </c>
      <c r="T58" s="18">
        <f>IF($B58="","",IF(ISNUMBER(R58),R58*Parâmetros!$B$61,""))</f>
        <v/>
      </c>
      <c r="U58" s="18">
        <f>IF($B58="","",IF(ISNUMBER(R58),R58*N58,""))</f>
        <v/>
      </c>
      <c r="V58" s="18">
        <f>IF($B58="","",IF(ISNUMBER(R58),R58*Parâmetros!$B$78,""))</f>
        <v/>
      </c>
      <c r="W58" s="18">
        <f>IF($B58="","",IF(ISNUMBER(R58),IF(Parâmetros!$B$64=2,R58*Parâmetros!$B$66,Parâmetros!$B$65*(R58-M58-R58*(Parâmetros!$B$61+N58+Parâmetros!$B$78))),""))</f>
        <v/>
      </c>
      <c r="X58" s="11">
        <f>IF($B58="","",IF(ISNUMBER(R58),R58-M58-T58-U58-V58-W58,""))</f>
        <v/>
      </c>
      <c r="Y58" s="19">
        <f>IF($B58="","",IF(AND(ISNUMBER(R58),R58&gt;0),X58/R58,""))</f>
        <v/>
      </c>
      <c r="Z58" s="18">
        <f>IF($B58="","",IF(AND(ISNUMBER(R58),ISNUMBER(G58)),R58-G58,""))</f>
        <v/>
      </c>
      <c r="AA58" s="20">
        <f>IF($B58="","",IF(NOT(ISNUMBER(R58)),"Percentuais ≥ 100%",IF(N(D58)=0,"Sem tempo",IF(J58=0,"Sem materiais",""))))</f>
        <v/>
      </c>
    </row>
    <row r="59">
      <c r="A59" s="7" t="n"/>
      <c r="B59" s="7" t="inlineStr">
        <is>
          <t>Bioestimulador hidroxiapatita de cálcio next (sessão)</t>
        </is>
      </c>
      <c r="C59" s="7" t="inlineStr">
        <is>
          <t>HOF</t>
        </is>
      </c>
      <c r="D59" s="7" t="n">
        <v>0</v>
      </c>
      <c r="E59" s="8" t="n">
        <v>0</v>
      </c>
      <c r="F59" s="8" t="n">
        <v>0</v>
      </c>
      <c r="G59" s="8" t="n"/>
      <c r="H59" s="13" t="n"/>
      <c r="I59" s="13" t="n">
        <v>0.2</v>
      </c>
      <c r="J59" s="18">
        <f>IF($B59="","",SUMIFS(Itens!$E$2:$E$158,Itens!$A$2:$A$158,$B59)+N(F59))</f>
        <v/>
      </c>
      <c r="K59" s="18">
        <f>IF($B59="","",N(D59)/60*Parâmetros!$B$57)</f>
        <v/>
      </c>
      <c r="L59" s="18">
        <f>IF($B59="","",N(D59)/60*Parâmetros!$B$60)</f>
        <v/>
      </c>
      <c r="M59" s="11">
        <f>IF($B59="","",J59+N(E59)+K59+L59)</f>
        <v/>
      </c>
      <c r="N59" s="19">
        <f>IF($B59="","",IF(H59="",Parâmetros!$B$62,H59))</f>
        <v/>
      </c>
      <c r="O59" s="19">
        <f>IF($B59="","",IF(I59="",Parâmetros!$B$63,I59))</f>
        <v/>
      </c>
      <c r="P59" s="18">
        <f>IF($B59="","",IF(1-(Parâmetros!$B$61+N59+Parâmetros!$B$78)-Parâmetros!$B$66-O59&lt;=0,"ERRO",M59/(1-(Parâmetros!$B$61+N59+Parâmetros!$B$78)-Parâmetros!$B$66-O59)))</f>
        <v/>
      </c>
      <c r="Q59" s="18">
        <f>IF($B59="","",IF((1-Parâmetros!$B$65)*(1-(Parâmetros!$B$61+N59+Parâmetros!$B$78))-O59&lt;=0,"ERRO",(1-Parâmetros!$B$65)*M59/((1-Parâmetros!$B$65)*(1-(Parâmetros!$B$61+N59+Parâmetros!$B$78))-O59)))</f>
        <v/>
      </c>
      <c r="R59" s="11">
        <f>IF($B59="","",IF(Parâmetros!$B$64=2,P59,Q59))</f>
        <v/>
      </c>
      <c r="S59" s="18">
        <f>IF($B59="","",IF(Parâmetros!$B$64=2,IF(1-(Parâmetros!$B$61+N59+Parâmetros!$B$78)-Parâmetros!$B$66&lt;=0,"ERRO",M59/(1-(Parâmetros!$B$61+N59+Parâmetros!$B$78)-Parâmetros!$B$66)),IF((1-Parâmetros!$B$65)*(1-(Parâmetros!$B$61+N59+Parâmetros!$B$78))&lt;=0,"ERRO",(1-Parâmetros!$B$65)*M59/((1-Parâmetros!$B$65)*(1-(Parâmetros!$B$61+N59+Parâmetros!$B$78))))))</f>
        <v/>
      </c>
      <c r="T59" s="18">
        <f>IF($B59="","",IF(ISNUMBER(R59),R59*Parâmetros!$B$61,""))</f>
        <v/>
      </c>
      <c r="U59" s="18">
        <f>IF($B59="","",IF(ISNUMBER(R59),R59*N59,""))</f>
        <v/>
      </c>
      <c r="V59" s="18">
        <f>IF($B59="","",IF(ISNUMBER(R59),R59*Parâmetros!$B$78,""))</f>
        <v/>
      </c>
      <c r="W59" s="18">
        <f>IF($B59="","",IF(ISNUMBER(R59),IF(Parâmetros!$B$64=2,R59*Parâmetros!$B$66,Parâmetros!$B$65*(R59-M59-R59*(Parâmetros!$B$61+N59+Parâmetros!$B$78))),""))</f>
        <v/>
      </c>
      <c r="X59" s="11">
        <f>IF($B59="","",IF(ISNUMBER(R59),R59-M59-T59-U59-V59-W59,""))</f>
        <v/>
      </c>
      <c r="Y59" s="19">
        <f>IF($B59="","",IF(AND(ISNUMBER(R59),R59&gt;0),X59/R59,""))</f>
        <v/>
      </c>
      <c r="Z59" s="18">
        <f>IF($B59="","",IF(AND(ISNUMBER(R59),ISNUMBER(G59)),R59-G59,""))</f>
        <v/>
      </c>
      <c r="AA59" s="20">
        <f>IF($B59="","",IF(NOT(ISNUMBER(R59)),"Percentuais ≥ 100%",IF(N(D59)=0,"Sem tempo",IF(J59=0,"Sem materiais",""))))</f>
        <v/>
      </c>
    </row>
    <row r="60">
      <c r="A60" s="7" t="n"/>
      <c r="B60" s="7" t="inlineStr">
        <is>
          <t>Bioestimulador hidroxiapatita de cálcio +ac pollatico next</t>
        </is>
      </c>
      <c r="C60" s="7" t="inlineStr">
        <is>
          <t>HOF</t>
        </is>
      </c>
      <c r="D60" s="7" t="n">
        <v>0</v>
      </c>
      <c r="E60" s="8" t="n">
        <v>0</v>
      </c>
      <c r="F60" s="8" t="n">
        <v>0</v>
      </c>
      <c r="G60" s="8" t="n">
        <v>800</v>
      </c>
      <c r="H60" s="13" t="n"/>
      <c r="I60" s="13" t="n">
        <v>0.2</v>
      </c>
      <c r="J60" s="18">
        <f>IF($B60="","",SUMIFS(Itens!$E$2:$E$158,Itens!$A$2:$A$158,$B60)+N(F60))</f>
        <v/>
      </c>
      <c r="K60" s="18">
        <f>IF($B60="","",N(D60)/60*Parâmetros!$B$57)</f>
        <v/>
      </c>
      <c r="L60" s="18">
        <f>IF($B60="","",N(D60)/60*Parâmetros!$B$60)</f>
        <v/>
      </c>
      <c r="M60" s="11">
        <f>IF($B60="","",J60+N(E60)+K60+L60)</f>
        <v/>
      </c>
      <c r="N60" s="19">
        <f>IF($B60="","",IF(H60="",Parâmetros!$B$62,H60))</f>
        <v/>
      </c>
      <c r="O60" s="19">
        <f>IF($B60="","",IF(I60="",Parâmetros!$B$63,I60))</f>
        <v/>
      </c>
      <c r="P60" s="18">
        <f>IF($B60="","",IF(1-(Parâmetros!$B$61+N60+Parâmetros!$B$78)-Parâmetros!$B$66-O60&lt;=0,"ERRO",M60/(1-(Parâmetros!$B$61+N60+Parâmetros!$B$78)-Parâmetros!$B$66-O60)))</f>
        <v/>
      </c>
      <c r="Q60" s="18">
        <f>IF($B60="","",IF((1-Parâmetros!$B$65)*(1-(Parâmetros!$B$61+N60+Parâmetros!$B$78))-O60&lt;=0,"ERRO",(1-Parâmetros!$B$65)*M60/((1-Parâmetros!$B$65)*(1-(Parâmetros!$B$61+N60+Parâmetros!$B$78))-O60)))</f>
        <v/>
      </c>
      <c r="R60" s="11">
        <f>IF($B60="","",IF(Parâmetros!$B$64=2,P60,Q60))</f>
        <v/>
      </c>
      <c r="S60" s="18">
        <f>IF($B60="","",IF(Parâmetros!$B$64=2,IF(1-(Parâmetros!$B$61+N60+Parâmetros!$B$78)-Parâmetros!$B$66&lt;=0,"ERRO",M60/(1-(Parâmetros!$B$61+N60+Parâmetros!$B$78)-Parâmetros!$B$66)),IF((1-Parâmetros!$B$65)*(1-(Parâmetros!$B$61+N60+Parâmetros!$B$78))&lt;=0,"ERRO",(1-Parâmetros!$B$65)*M60/((1-Parâmetros!$B$65)*(1-(Parâmetros!$B$61+N60+Parâmetros!$B$78))))))</f>
        <v/>
      </c>
      <c r="T60" s="18">
        <f>IF($B60="","",IF(ISNUMBER(R60),R60*Parâmetros!$B$61,""))</f>
        <v/>
      </c>
      <c r="U60" s="18">
        <f>IF($B60="","",IF(ISNUMBER(R60),R60*N60,""))</f>
        <v/>
      </c>
      <c r="V60" s="18">
        <f>IF($B60="","",IF(ISNUMBER(R60),R60*Parâmetros!$B$78,""))</f>
        <v/>
      </c>
      <c r="W60" s="18">
        <f>IF($B60="","",IF(ISNUMBER(R60),IF(Parâmetros!$B$64=2,R60*Parâmetros!$B$66,Parâmetros!$B$65*(R60-M60-R60*(Parâmetros!$B$61+N60+Parâmetros!$B$78))),""))</f>
        <v/>
      </c>
      <c r="X60" s="11">
        <f>IF($B60="","",IF(ISNUMBER(R60),R60-M60-T60-U60-V60-W60,""))</f>
        <v/>
      </c>
      <c r="Y60" s="19">
        <f>IF($B60="","",IF(AND(ISNUMBER(R60),R60&gt;0),X60/R60,""))</f>
        <v/>
      </c>
      <c r="Z60" s="18">
        <f>IF($B60="","",IF(AND(ISNUMBER(R60),ISNUMBER(G60)),R60-G60,""))</f>
        <v/>
      </c>
      <c r="AA60" s="20">
        <f>IF($B60="","",IF(NOT(ISNUMBER(R60)),"Percentuais ≥ 100%",IF(N(D60)=0,"Sem tempo",IF(J60=0,"Sem materiais",""))))</f>
        <v/>
      </c>
    </row>
    <row r="61">
      <c r="A61" s="7" t="n"/>
      <c r="B61" s="7" t="inlineStr">
        <is>
          <t>Microagulhamento com mescla para melasma</t>
        </is>
      </c>
      <c r="C61" s="7" t="inlineStr">
        <is>
          <t>HOF</t>
        </is>
      </c>
      <c r="D61" s="7" t="n">
        <v>0</v>
      </c>
      <c r="E61" s="8" t="n">
        <v>0</v>
      </c>
      <c r="F61" s="8" t="n">
        <v>0</v>
      </c>
      <c r="G61" s="8" t="n">
        <v>150</v>
      </c>
      <c r="H61" s="13" t="n"/>
      <c r="I61" s="13" t="n">
        <v>0.2</v>
      </c>
      <c r="J61" s="18">
        <f>IF($B61="","",SUMIFS(Itens!$E$2:$E$158,Itens!$A$2:$A$158,$B61)+N(F61))</f>
        <v/>
      </c>
      <c r="K61" s="18">
        <f>IF($B61="","",N(D61)/60*Parâmetros!$B$57)</f>
        <v/>
      </c>
      <c r="L61" s="18">
        <f>IF($B61="","",N(D61)/60*Parâmetros!$B$60)</f>
        <v/>
      </c>
      <c r="M61" s="11">
        <f>IF($B61="","",J61+N(E61)+K61+L61)</f>
        <v/>
      </c>
      <c r="N61" s="19">
        <f>IF($B61="","",IF(H61="",Parâmetros!$B$62,H61))</f>
        <v/>
      </c>
      <c r="O61" s="19">
        <f>IF($B61="","",IF(I61="",Parâmetros!$B$63,I61))</f>
        <v/>
      </c>
      <c r="P61" s="18">
        <f>IF($B61="","",IF(1-(Parâmetros!$B$61+N61+Parâmetros!$B$78)-Parâmetros!$B$66-O61&lt;=0,"ERRO",M61/(1-(Parâmetros!$B$61+N61+Parâmetros!$B$78)-Parâmetros!$B$66-O61)))</f>
        <v/>
      </c>
      <c r="Q61" s="18">
        <f>IF($B61="","",IF((1-Parâmetros!$B$65)*(1-(Parâmetros!$B$61+N61+Parâmetros!$B$78))-O61&lt;=0,"ERRO",(1-Parâmetros!$B$65)*M61/((1-Parâmetros!$B$65)*(1-(Parâmetros!$B$61+N61+Parâmetros!$B$78))-O61)))</f>
        <v/>
      </c>
      <c r="R61" s="11">
        <f>IF($B61="","",IF(Parâmetros!$B$64=2,P61,Q61))</f>
        <v/>
      </c>
      <c r="S61" s="18">
        <f>IF($B61="","",IF(Parâmetros!$B$64=2,IF(1-(Parâmetros!$B$61+N61+Parâmetros!$B$78)-Parâmetros!$B$66&lt;=0,"ERRO",M61/(1-(Parâmetros!$B$61+N61+Parâmetros!$B$78)-Parâmetros!$B$66)),IF((1-Parâmetros!$B$65)*(1-(Parâmetros!$B$61+N61+Parâmetros!$B$78))&lt;=0,"ERRO",(1-Parâmetros!$B$65)*M61/((1-Parâmetros!$B$65)*(1-(Parâmetros!$B$61+N61+Parâmetros!$B$78))))))</f>
        <v/>
      </c>
      <c r="T61" s="18">
        <f>IF($B61="","",IF(ISNUMBER(R61),R61*Parâmetros!$B$61,""))</f>
        <v/>
      </c>
      <c r="U61" s="18">
        <f>IF($B61="","",IF(ISNUMBER(R61),R61*N61,""))</f>
        <v/>
      </c>
      <c r="V61" s="18">
        <f>IF($B61="","",IF(ISNUMBER(R61),R61*Parâmetros!$B$78,""))</f>
        <v/>
      </c>
      <c r="W61" s="18">
        <f>IF($B61="","",IF(ISNUMBER(R61),IF(Parâmetros!$B$64=2,R61*Parâmetros!$B$66,Parâmetros!$B$65*(R61-M61-R61*(Parâmetros!$B$61+N61+Parâmetros!$B$78))),""))</f>
        <v/>
      </c>
      <c r="X61" s="11">
        <f>IF($B61="","",IF(ISNUMBER(R61),R61-M61-T61-U61-V61-W61,""))</f>
        <v/>
      </c>
      <c r="Y61" s="19">
        <f>IF($B61="","",IF(AND(ISNUMBER(R61),R61&gt;0),X61/R61,""))</f>
        <v/>
      </c>
      <c r="Z61" s="18">
        <f>IF($B61="","",IF(AND(ISNUMBER(R61),ISNUMBER(G61)),R61-G61,""))</f>
        <v/>
      </c>
      <c r="AA61" s="20">
        <f>IF($B61="","",IF(NOT(ISNUMBER(R61)),"Percentuais ≥ 100%",IF(N(D61)=0,"Sem tempo",IF(J61=0,"Sem materiais",""))))</f>
        <v/>
      </c>
    </row>
    <row r="62">
      <c r="A62" s="7" t="n"/>
      <c r="B62" s="7" t="inlineStr">
        <is>
          <t>Hidralips</t>
        </is>
      </c>
      <c r="C62" s="7" t="inlineStr">
        <is>
          <t>HOF</t>
        </is>
      </c>
      <c r="D62" s="7" t="n">
        <v>0</v>
      </c>
      <c r="E62" s="8" t="n">
        <v>0</v>
      </c>
      <c r="F62" s="8" t="n">
        <v>0</v>
      </c>
      <c r="G62" s="8" t="n">
        <v>150</v>
      </c>
      <c r="H62" s="13" t="n"/>
      <c r="I62" s="13" t="n">
        <v>0.2</v>
      </c>
      <c r="J62" s="18">
        <f>IF($B62="","",SUMIFS(Itens!$E$2:$E$158,Itens!$A$2:$A$158,$B62)+N(F62))</f>
        <v/>
      </c>
      <c r="K62" s="18">
        <f>IF($B62="","",N(D62)/60*Parâmetros!$B$57)</f>
        <v/>
      </c>
      <c r="L62" s="18">
        <f>IF($B62="","",N(D62)/60*Parâmetros!$B$60)</f>
        <v/>
      </c>
      <c r="M62" s="11">
        <f>IF($B62="","",J62+N(E62)+K62+L62)</f>
        <v/>
      </c>
      <c r="N62" s="19">
        <f>IF($B62="","",IF(H62="",Parâmetros!$B$62,H62))</f>
        <v/>
      </c>
      <c r="O62" s="19">
        <f>IF($B62="","",IF(I62="",Parâmetros!$B$63,I62))</f>
        <v/>
      </c>
      <c r="P62" s="18">
        <f>IF($B62="","",IF(1-(Parâmetros!$B$61+N62+Parâmetros!$B$78)-Parâmetros!$B$66-O62&lt;=0,"ERRO",M62/(1-(Parâmetros!$B$61+N62+Parâmetros!$B$78)-Parâmetros!$B$66-O62)))</f>
        <v/>
      </c>
      <c r="Q62" s="18">
        <f>IF($B62="","",IF((1-Parâmetros!$B$65)*(1-(Parâmetros!$B$61+N62+Parâmetros!$B$78))-O62&lt;=0,"ERRO",(1-Parâmetros!$B$65)*M62/((1-Parâmetros!$B$65)*(1-(Parâmetros!$B$61+N62+Parâmetros!$B$78))-O62)))</f>
        <v/>
      </c>
      <c r="R62" s="11">
        <f>IF($B62="","",IF(Parâmetros!$B$64=2,P62,Q62))</f>
        <v/>
      </c>
      <c r="S62" s="18">
        <f>IF($B62="","",IF(Parâmetros!$B$64=2,IF(1-(Parâmetros!$B$61+N62+Parâmetros!$B$78)-Parâmetros!$B$66&lt;=0,"ERRO",M62/(1-(Parâmetros!$B$61+N62+Parâmetros!$B$78)-Parâmetros!$B$66)),IF((1-Parâmetros!$B$65)*(1-(Parâmetros!$B$61+N62+Parâmetros!$B$78))&lt;=0,"ERRO",(1-Parâmetros!$B$65)*M62/((1-Parâmetros!$B$65)*(1-(Parâmetros!$B$61+N62+Parâmetros!$B$78))))))</f>
        <v/>
      </c>
      <c r="T62" s="18">
        <f>IF($B62="","",IF(ISNUMBER(R62),R62*Parâmetros!$B$61,""))</f>
        <v/>
      </c>
      <c r="U62" s="18">
        <f>IF($B62="","",IF(ISNUMBER(R62),R62*N62,""))</f>
        <v/>
      </c>
      <c r="V62" s="18">
        <f>IF($B62="","",IF(ISNUMBER(R62),R62*Parâmetros!$B$78,""))</f>
        <v/>
      </c>
      <c r="W62" s="18">
        <f>IF($B62="","",IF(ISNUMBER(R62),IF(Parâmetros!$B$64=2,R62*Parâmetros!$B$66,Parâmetros!$B$65*(R62-M62-R62*(Parâmetros!$B$61+N62+Parâmetros!$B$78))),""))</f>
        <v/>
      </c>
      <c r="X62" s="11">
        <f>IF($B62="","",IF(ISNUMBER(R62),R62-M62-T62-U62-V62-W62,""))</f>
        <v/>
      </c>
      <c r="Y62" s="19">
        <f>IF($B62="","",IF(AND(ISNUMBER(R62),R62&gt;0),X62/R62,""))</f>
        <v/>
      </c>
      <c r="Z62" s="18">
        <f>IF($B62="","",IF(AND(ISNUMBER(R62),ISNUMBER(G62)),R62-G62,""))</f>
        <v/>
      </c>
      <c r="AA62" s="20">
        <f>IF($B62="","",IF(NOT(ISNUMBER(R62)),"Percentuais ≥ 100%",IF(N(D62)=0,"Sem tempo",IF(J62=0,"Sem materiais",""))))</f>
        <v/>
      </c>
    </row>
    <row r="63">
      <c r="A63" s="7" t="n"/>
      <c r="B63" s="7" t="inlineStr">
        <is>
          <t>Peeling ácido retinoico</t>
        </is>
      </c>
      <c r="C63" s="7" t="inlineStr">
        <is>
          <t>HOF</t>
        </is>
      </c>
      <c r="D63" s="7" t="n">
        <v>0</v>
      </c>
      <c r="E63" s="8" t="n">
        <v>0</v>
      </c>
      <c r="F63" s="8" t="n">
        <v>0</v>
      </c>
      <c r="G63" s="8" t="n"/>
      <c r="H63" s="13" t="n"/>
      <c r="I63" s="13" t="n">
        <v>0.2</v>
      </c>
      <c r="J63" s="18">
        <f>IF($B63="","",SUMIFS(Itens!$E$2:$E$158,Itens!$A$2:$A$158,$B63)+N(F63))</f>
        <v/>
      </c>
      <c r="K63" s="18">
        <f>IF($B63="","",N(D63)/60*Parâmetros!$B$57)</f>
        <v/>
      </c>
      <c r="L63" s="18">
        <f>IF($B63="","",N(D63)/60*Parâmetros!$B$60)</f>
        <v/>
      </c>
      <c r="M63" s="11">
        <f>IF($B63="","",J63+N(E63)+K63+L63)</f>
        <v/>
      </c>
      <c r="N63" s="19">
        <f>IF($B63="","",IF(H63="",Parâmetros!$B$62,H63))</f>
        <v/>
      </c>
      <c r="O63" s="19">
        <f>IF($B63="","",IF(I63="",Parâmetros!$B$63,I63))</f>
        <v/>
      </c>
      <c r="P63" s="18">
        <f>IF($B63="","",IF(1-(Parâmetros!$B$61+N63+Parâmetros!$B$78)-Parâmetros!$B$66-O63&lt;=0,"ERRO",M63/(1-(Parâmetros!$B$61+N63+Parâmetros!$B$78)-Parâmetros!$B$66-O63)))</f>
        <v/>
      </c>
      <c r="Q63" s="18">
        <f>IF($B63="","",IF((1-Parâmetros!$B$65)*(1-(Parâmetros!$B$61+N63+Parâmetros!$B$78))-O63&lt;=0,"ERRO",(1-Parâmetros!$B$65)*M63/((1-Parâmetros!$B$65)*(1-(Parâmetros!$B$61+N63+Parâmetros!$B$78))-O63)))</f>
        <v/>
      </c>
      <c r="R63" s="11">
        <f>IF($B63="","",IF(Parâmetros!$B$64=2,P63,Q63))</f>
        <v/>
      </c>
      <c r="S63" s="18">
        <f>IF($B63="","",IF(Parâmetros!$B$64=2,IF(1-(Parâmetros!$B$61+N63+Parâmetros!$B$78)-Parâmetros!$B$66&lt;=0,"ERRO",M63/(1-(Parâmetros!$B$61+N63+Parâmetros!$B$78)-Parâmetros!$B$66)),IF((1-Parâmetros!$B$65)*(1-(Parâmetros!$B$61+N63+Parâmetros!$B$78))&lt;=0,"ERRO",(1-Parâmetros!$B$65)*M63/((1-Parâmetros!$B$65)*(1-(Parâmetros!$B$61+N63+Parâmetros!$B$78))))))</f>
        <v/>
      </c>
      <c r="T63" s="18">
        <f>IF($B63="","",IF(ISNUMBER(R63),R63*Parâmetros!$B$61,""))</f>
        <v/>
      </c>
      <c r="U63" s="18">
        <f>IF($B63="","",IF(ISNUMBER(R63),R63*N63,""))</f>
        <v/>
      </c>
      <c r="V63" s="18">
        <f>IF($B63="","",IF(ISNUMBER(R63),R63*Parâmetros!$B$78,""))</f>
        <v/>
      </c>
      <c r="W63" s="18">
        <f>IF($B63="","",IF(ISNUMBER(R63),IF(Parâmetros!$B$64=2,R63*Parâmetros!$B$66,Parâmetros!$B$65*(R63-M63-R63*(Parâmetros!$B$61+N63+Parâmetros!$B$78))),""))</f>
        <v/>
      </c>
      <c r="X63" s="11">
        <f>IF($B63="","",IF(ISNUMBER(R63),R63-M63-T63-U63-V63-W63,""))</f>
        <v/>
      </c>
      <c r="Y63" s="19">
        <f>IF($B63="","",IF(AND(ISNUMBER(R63),R63&gt;0),X63/R63,""))</f>
        <v/>
      </c>
      <c r="Z63" s="18">
        <f>IF($B63="","",IF(AND(ISNUMBER(R63),ISNUMBER(G63)),R63-G63,""))</f>
        <v/>
      </c>
      <c r="AA63" s="20">
        <f>IF($B63="","",IF(NOT(ISNUMBER(R63)),"Percentuais ≥ 100%",IF(N(D63)=0,"Sem tempo",IF(J63=0,"Sem materiais",""))))</f>
        <v/>
      </c>
    </row>
    <row r="64">
      <c r="A64" s="7" t="n"/>
      <c r="B64" s="7" t="inlineStr">
        <is>
          <t>Lipo de papada cirúrgica</t>
        </is>
      </c>
      <c r="C64" s="7" t="inlineStr">
        <is>
          <t>HOF</t>
        </is>
      </c>
      <c r="D64" s="7" t="n">
        <v>0</v>
      </c>
      <c r="E64" s="8" t="n">
        <v>0</v>
      </c>
      <c r="F64" s="8" t="n">
        <v>0</v>
      </c>
      <c r="G64" s="8" t="n">
        <v>5500</v>
      </c>
      <c r="H64" s="13" t="n"/>
      <c r="I64" s="13" t="n">
        <v>0.2</v>
      </c>
      <c r="J64" s="18">
        <f>IF($B64="","",SUMIFS(Itens!$E$2:$E$158,Itens!$A$2:$A$158,$B64)+N(F64))</f>
        <v/>
      </c>
      <c r="K64" s="18">
        <f>IF($B64="","",N(D64)/60*Parâmetros!$B$57)</f>
        <v/>
      </c>
      <c r="L64" s="18">
        <f>IF($B64="","",N(D64)/60*Parâmetros!$B$60)</f>
        <v/>
      </c>
      <c r="M64" s="11">
        <f>IF($B64="","",J64+N(E64)+K64+L64)</f>
        <v/>
      </c>
      <c r="N64" s="19">
        <f>IF($B64="","",IF(H64="",Parâmetros!$B$62,H64))</f>
        <v/>
      </c>
      <c r="O64" s="19">
        <f>IF($B64="","",IF(I64="",Parâmetros!$B$63,I64))</f>
        <v/>
      </c>
      <c r="P64" s="18">
        <f>IF($B64="","",IF(1-(Parâmetros!$B$61+N64+Parâmetros!$B$78)-Parâmetros!$B$66-O64&lt;=0,"ERRO",M64/(1-(Parâmetros!$B$61+N64+Parâmetros!$B$78)-Parâmetros!$B$66-O64)))</f>
        <v/>
      </c>
      <c r="Q64" s="18">
        <f>IF($B64="","",IF((1-Parâmetros!$B$65)*(1-(Parâmetros!$B$61+N64+Parâmetros!$B$78))-O64&lt;=0,"ERRO",(1-Parâmetros!$B$65)*M64/((1-Parâmetros!$B$65)*(1-(Parâmetros!$B$61+N64+Parâmetros!$B$78))-O64)))</f>
        <v/>
      </c>
      <c r="R64" s="11">
        <f>IF($B64="","",IF(Parâmetros!$B$64=2,P64,Q64))</f>
        <v/>
      </c>
      <c r="S64" s="18">
        <f>IF($B64="","",IF(Parâmetros!$B$64=2,IF(1-(Parâmetros!$B$61+N64+Parâmetros!$B$78)-Parâmetros!$B$66&lt;=0,"ERRO",M64/(1-(Parâmetros!$B$61+N64+Parâmetros!$B$78)-Parâmetros!$B$66)),IF((1-Parâmetros!$B$65)*(1-(Parâmetros!$B$61+N64+Parâmetros!$B$78))&lt;=0,"ERRO",(1-Parâmetros!$B$65)*M64/((1-Parâmetros!$B$65)*(1-(Parâmetros!$B$61+N64+Parâmetros!$B$78))))))</f>
        <v/>
      </c>
      <c r="T64" s="18">
        <f>IF($B64="","",IF(ISNUMBER(R64),R64*Parâmetros!$B$61,""))</f>
        <v/>
      </c>
      <c r="U64" s="18">
        <f>IF($B64="","",IF(ISNUMBER(R64),R64*N64,""))</f>
        <v/>
      </c>
      <c r="V64" s="18">
        <f>IF($B64="","",IF(ISNUMBER(R64),R64*Parâmetros!$B$78,""))</f>
        <v/>
      </c>
      <c r="W64" s="18">
        <f>IF($B64="","",IF(ISNUMBER(R64),IF(Parâmetros!$B$64=2,R64*Parâmetros!$B$66,Parâmetros!$B$65*(R64-M64-R64*(Parâmetros!$B$61+N64+Parâmetros!$B$78))),""))</f>
        <v/>
      </c>
      <c r="X64" s="11">
        <f>IF($B64="","",IF(ISNUMBER(R64),R64-M64-T64-U64-V64-W64,""))</f>
        <v/>
      </c>
      <c r="Y64" s="19">
        <f>IF($B64="","",IF(AND(ISNUMBER(R64),R64&gt;0),X64/R64,""))</f>
        <v/>
      </c>
      <c r="Z64" s="18">
        <f>IF($B64="","",IF(AND(ISNUMBER(R64),ISNUMBER(G64)),R64-G64,""))</f>
        <v/>
      </c>
      <c r="AA64" s="20">
        <f>IF($B64="","",IF(NOT(ISNUMBER(R64)),"Percentuais ≥ 100%",IF(N(D64)=0,"Sem tempo",IF(J64=0,"Sem materiais",""))))</f>
        <v/>
      </c>
    </row>
    <row r="65">
      <c r="A65" s="7" t="n"/>
      <c r="B65" s="7" t="inlineStr">
        <is>
          <t>Botox testa</t>
        </is>
      </c>
      <c r="C65" s="7" t="inlineStr">
        <is>
          <t>HOF</t>
        </is>
      </c>
      <c r="D65" s="7" t="n">
        <v>0</v>
      </c>
      <c r="E65" s="8" t="n">
        <v>0</v>
      </c>
      <c r="F65" s="8" t="n">
        <v>0</v>
      </c>
      <c r="G65" s="8" t="n">
        <v>110</v>
      </c>
      <c r="H65" s="13" t="n"/>
      <c r="I65" s="13" t="n">
        <v>0.2</v>
      </c>
      <c r="J65" s="18">
        <f>IF($B65="","",SUMIFS(Itens!$E$2:$E$158,Itens!$A$2:$A$158,$B65)+N(F65))</f>
        <v/>
      </c>
      <c r="K65" s="18">
        <f>IF($B65="","",N(D65)/60*Parâmetros!$B$57)</f>
        <v/>
      </c>
      <c r="L65" s="18">
        <f>IF($B65="","",N(D65)/60*Parâmetros!$B$60)</f>
        <v/>
      </c>
      <c r="M65" s="11">
        <f>IF($B65="","",J65+N(E65)+K65+L65)</f>
        <v/>
      </c>
      <c r="N65" s="19">
        <f>IF($B65="","",IF(H65="",Parâmetros!$B$62,H65))</f>
        <v/>
      </c>
      <c r="O65" s="19">
        <f>IF($B65="","",IF(I65="",Parâmetros!$B$63,I65))</f>
        <v/>
      </c>
      <c r="P65" s="18">
        <f>IF($B65="","",IF(1-(Parâmetros!$B$61+N65+Parâmetros!$B$78)-Parâmetros!$B$66-O65&lt;=0,"ERRO",M65/(1-(Parâmetros!$B$61+N65+Parâmetros!$B$78)-Parâmetros!$B$66-O65)))</f>
        <v/>
      </c>
      <c r="Q65" s="18">
        <f>IF($B65="","",IF((1-Parâmetros!$B$65)*(1-(Parâmetros!$B$61+N65+Parâmetros!$B$78))-O65&lt;=0,"ERRO",(1-Parâmetros!$B$65)*M65/((1-Parâmetros!$B$65)*(1-(Parâmetros!$B$61+N65+Parâmetros!$B$78))-O65)))</f>
        <v/>
      </c>
      <c r="R65" s="11">
        <f>IF($B65="","",IF(Parâmetros!$B$64=2,P65,Q65))</f>
        <v/>
      </c>
      <c r="S65" s="18">
        <f>IF($B65="","",IF(Parâmetros!$B$64=2,IF(1-(Parâmetros!$B$61+N65+Parâmetros!$B$78)-Parâmetros!$B$66&lt;=0,"ERRO",M65/(1-(Parâmetros!$B$61+N65+Parâmetros!$B$78)-Parâmetros!$B$66)),IF((1-Parâmetros!$B$65)*(1-(Parâmetros!$B$61+N65+Parâmetros!$B$78))&lt;=0,"ERRO",(1-Parâmetros!$B$65)*M65/((1-Parâmetros!$B$65)*(1-(Parâmetros!$B$61+N65+Parâmetros!$B$78))))))</f>
        <v/>
      </c>
      <c r="T65" s="18">
        <f>IF($B65="","",IF(ISNUMBER(R65),R65*Parâmetros!$B$61,""))</f>
        <v/>
      </c>
      <c r="U65" s="18">
        <f>IF($B65="","",IF(ISNUMBER(R65),R65*N65,""))</f>
        <v/>
      </c>
      <c r="V65" s="18">
        <f>IF($B65="","",IF(ISNUMBER(R65),R65*Parâmetros!$B$78,""))</f>
        <v/>
      </c>
      <c r="W65" s="18">
        <f>IF($B65="","",IF(ISNUMBER(R65),IF(Parâmetros!$B$64=2,R65*Parâmetros!$B$66,Parâmetros!$B$65*(R65-M65-R65*(Parâmetros!$B$61+N65+Parâmetros!$B$78))),""))</f>
        <v/>
      </c>
      <c r="X65" s="11">
        <f>IF($B65="","",IF(ISNUMBER(R65),R65-M65-T65-U65-V65-W65,""))</f>
        <v/>
      </c>
      <c r="Y65" s="19">
        <f>IF($B65="","",IF(AND(ISNUMBER(R65),R65&gt;0),X65/R65,""))</f>
        <v/>
      </c>
      <c r="Z65" s="18">
        <f>IF($B65="","",IF(AND(ISNUMBER(R65),ISNUMBER(G65)),R65-G65,""))</f>
        <v/>
      </c>
      <c r="AA65" s="20">
        <f>IF($B65="","",IF(NOT(ISNUMBER(R65)),"Percentuais ≥ 100%",IF(N(D65)=0,"Sem tempo",IF(J65=0,"Sem materiais",""))))</f>
        <v/>
      </c>
    </row>
    <row r="66">
      <c r="A66" s="7" t="n"/>
      <c r="B66" s="7" t="inlineStr">
        <is>
          <t>Botox olhos</t>
        </is>
      </c>
      <c r="C66" s="7" t="inlineStr">
        <is>
          <t>HOF</t>
        </is>
      </c>
      <c r="D66" s="7" t="n">
        <v>0</v>
      </c>
      <c r="E66" s="8" t="n">
        <v>0</v>
      </c>
      <c r="F66" s="8" t="n">
        <v>0</v>
      </c>
      <c r="G66" s="8" t="n">
        <v>420</v>
      </c>
      <c r="H66" s="13" t="n"/>
      <c r="I66" s="13" t="n">
        <v>0.2</v>
      </c>
      <c r="J66" s="18">
        <f>IF($B66="","",SUMIFS(Itens!$E$2:$E$158,Itens!$A$2:$A$158,$B66)+N(F66))</f>
        <v/>
      </c>
      <c r="K66" s="18">
        <f>IF($B66="","",N(D66)/60*Parâmetros!$B$57)</f>
        <v/>
      </c>
      <c r="L66" s="18">
        <f>IF($B66="","",N(D66)/60*Parâmetros!$B$60)</f>
        <v/>
      </c>
      <c r="M66" s="11">
        <f>IF($B66="","",J66+N(E66)+K66+L66)</f>
        <v/>
      </c>
      <c r="N66" s="19">
        <f>IF($B66="","",IF(H66="",Parâmetros!$B$62,H66))</f>
        <v/>
      </c>
      <c r="O66" s="19">
        <f>IF($B66="","",IF(I66="",Parâmetros!$B$63,I66))</f>
        <v/>
      </c>
      <c r="P66" s="18">
        <f>IF($B66="","",IF(1-(Parâmetros!$B$61+N66+Parâmetros!$B$78)-Parâmetros!$B$66-O66&lt;=0,"ERRO",M66/(1-(Parâmetros!$B$61+N66+Parâmetros!$B$78)-Parâmetros!$B$66-O66)))</f>
        <v/>
      </c>
      <c r="Q66" s="18">
        <f>IF($B66="","",IF((1-Parâmetros!$B$65)*(1-(Parâmetros!$B$61+N66+Parâmetros!$B$78))-O66&lt;=0,"ERRO",(1-Parâmetros!$B$65)*M66/((1-Parâmetros!$B$65)*(1-(Parâmetros!$B$61+N66+Parâmetros!$B$78))-O66)))</f>
        <v/>
      </c>
      <c r="R66" s="11">
        <f>IF($B66="","",IF(Parâmetros!$B$64=2,P66,Q66))</f>
        <v/>
      </c>
      <c r="S66" s="18">
        <f>IF($B66="","",IF(Parâmetros!$B$64=2,IF(1-(Parâmetros!$B$61+N66+Parâmetros!$B$78)-Parâmetros!$B$66&lt;=0,"ERRO",M66/(1-(Parâmetros!$B$61+N66+Parâmetros!$B$78)-Parâmetros!$B$66)),IF((1-Parâmetros!$B$65)*(1-(Parâmetros!$B$61+N66+Parâmetros!$B$78))&lt;=0,"ERRO",(1-Parâmetros!$B$65)*M66/((1-Parâmetros!$B$65)*(1-(Parâmetros!$B$61+N66+Parâmetros!$B$78))))))</f>
        <v/>
      </c>
      <c r="T66" s="18">
        <f>IF($B66="","",IF(ISNUMBER(R66),R66*Parâmetros!$B$61,""))</f>
        <v/>
      </c>
      <c r="U66" s="18">
        <f>IF($B66="","",IF(ISNUMBER(R66),R66*N66,""))</f>
        <v/>
      </c>
      <c r="V66" s="18">
        <f>IF($B66="","",IF(ISNUMBER(R66),R66*Parâmetros!$B$78,""))</f>
        <v/>
      </c>
      <c r="W66" s="18">
        <f>IF($B66="","",IF(ISNUMBER(R66),IF(Parâmetros!$B$64=2,R66*Parâmetros!$B$66,Parâmetros!$B$65*(R66-M66-R66*(Parâmetros!$B$61+N66+Parâmetros!$B$78))),""))</f>
        <v/>
      </c>
      <c r="X66" s="11">
        <f>IF($B66="","",IF(ISNUMBER(R66),R66-M66-T66-U66-V66-W66,""))</f>
        <v/>
      </c>
      <c r="Y66" s="19">
        <f>IF($B66="","",IF(AND(ISNUMBER(R66),R66&gt;0),X66/R66,""))</f>
        <v/>
      </c>
      <c r="Z66" s="18">
        <f>IF($B66="","",IF(AND(ISNUMBER(R66),ISNUMBER(G66)),R66-G66,""))</f>
        <v/>
      </c>
      <c r="AA66" s="20">
        <f>IF($B66="","",IF(NOT(ISNUMBER(R66)),"Percentuais ≥ 100%",IF(N(D66)=0,"Sem tempo",IF(J66=0,"Sem materiais",""))))</f>
        <v/>
      </c>
    </row>
    <row r="67">
      <c r="A67" s="7" t="n"/>
      <c r="B67" s="7" t="inlineStr">
        <is>
          <t>Botox glabela</t>
        </is>
      </c>
      <c r="C67" s="7" t="inlineStr">
        <is>
          <t>HOF</t>
        </is>
      </c>
      <c r="D67" s="7" t="n">
        <v>0</v>
      </c>
      <c r="E67" s="8" t="n">
        <v>0</v>
      </c>
      <c r="F67" s="8" t="n">
        <v>0</v>
      </c>
      <c r="G67" s="8" t="n">
        <v>770</v>
      </c>
      <c r="H67" s="13" t="n"/>
      <c r="I67" s="13" t="n">
        <v>0.2</v>
      </c>
      <c r="J67" s="18">
        <f>IF($B67="","",SUMIFS(Itens!$E$2:$E$158,Itens!$A$2:$A$158,$B67)+N(F67))</f>
        <v/>
      </c>
      <c r="K67" s="18">
        <f>IF($B67="","",N(D67)/60*Parâmetros!$B$57)</f>
        <v/>
      </c>
      <c r="L67" s="18">
        <f>IF($B67="","",N(D67)/60*Parâmetros!$B$60)</f>
        <v/>
      </c>
      <c r="M67" s="11">
        <f>IF($B67="","",J67+N(E67)+K67+L67)</f>
        <v/>
      </c>
      <c r="N67" s="19">
        <f>IF($B67="","",IF(H67="",Parâmetros!$B$62,H67))</f>
        <v/>
      </c>
      <c r="O67" s="19">
        <f>IF($B67="","",IF(I67="",Parâmetros!$B$63,I67))</f>
        <v/>
      </c>
      <c r="P67" s="18">
        <f>IF($B67="","",IF(1-(Parâmetros!$B$61+N67+Parâmetros!$B$78)-Parâmetros!$B$66-O67&lt;=0,"ERRO",M67/(1-(Parâmetros!$B$61+N67+Parâmetros!$B$78)-Parâmetros!$B$66-O67)))</f>
        <v/>
      </c>
      <c r="Q67" s="18">
        <f>IF($B67="","",IF((1-Parâmetros!$B$65)*(1-(Parâmetros!$B$61+N67+Parâmetros!$B$78))-O67&lt;=0,"ERRO",(1-Parâmetros!$B$65)*M67/((1-Parâmetros!$B$65)*(1-(Parâmetros!$B$61+N67+Parâmetros!$B$78))-O67)))</f>
        <v/>
      </c>
      <c r="R67" s="11">
        <f>IF($B67="","",IF(Parâmetros!$B$64=2,P67,Q67))</f>
        <v/>
      </c>
      <c r="S67" s="18">
        <f>IF($B67="","",IF(Parâmetros!$B$64=2,IF(1-(Parâmetros!$B$61+N67+Parâmetros!$B$78)-Parâmetros!$B$66&lt;=0,"ERRO",M67/(1-(Parâmetros!$B$61+N67+Parâmetros!$B$78)-Parâmetros!$B$66)),IF((1-Parâmetros!$B$65)*(1-(Parâmetros!$B$61+N67+Parâmetros!$B$78))&lt;=0,"ERRO",(1-Parâmetros!$B$65)*M67/((1-Parâmetros!$B$65)*(1-(Parâmetros!$B$61+N67+Parâmetros!$B$78))))))</f>
        <v/>
      </c>
      <c r="T67" s="18">
        <f>IF($B67="","",IF(ISNUMBER(R67),R67*Parâmetros!$B$61,""))</f>
        <v/>
      </c>
      <c r="U67" s="18">
        <f>IF($B67="","",IF(ISNUMBER(R67),R67*N67,""))</f>
        <v/>
      </c>
      <c r="V67" s="18">
        <f>IF($B67="","",IF(ISNUMBER(R67),R67*Parâmetros!$B$78,""))</f>
        <v/>
      </c>
      <c r="W67" s="18">
        <f>IF($B67="","",IF(ISNUMBER(R67),IF(Parâmetros!$B$64=2,R67*Parâmetros!$B$66,Parâmetros!$B$65*(R67-M67-R67*(Parâmetros!$B$61+N67+Parâmetros!$B$78))),""))</f>
        <v/>
      </c>
      <c r="X67" s="11">
        <f>IF($B67="","",IF(ISNUMBER(R67),R67-M67-T67-U67-V67-W67,""))</f>
        <v/>
      </c>
      <c r="Y67" s="19">
        <f>IF($B67="","",IF(AND(ISNUMBER(R67),R67&gt;0),X67/R67,""))</f>
        <v/>
      </c>
      <c r="Z67" s="18">
        <f>IF($B67="","",IF(AND(ISNUMBER(R67),ISNUMBER(G67)),R67-G67,""))</f>
        <v/>
      </c>
      <c r="AA67" s="20">
        <f>IF($B67="","",IF(NOT(ISNUMBER(R67)),"Percentuais ≥ 100%",IF(N(D67)=0,"Sem tempo",IF(J67=0,"Sem materiais",""))))</f>
        <v/>
      </c>
    </row>
    <row r="68">
      <c r="A68" s="7" t="n"/>
      <c r="B68" s="7" t="inlineStr">
        <is>
          <t>Botox terço superior</t>
        </is>
      </c>
      <c r="C68" s="7" t="inlineStr">
        <is>
          <t>HOF</t>
        </is>
      </c>
      <c r="D68" s="7" t="n">
        <v>0</v>
      </c>
      <c r="E68" s="8" t="n">
        <v>0</v>
      </c>
      <c r="F68" s="8" t="n">
        <v>0</v>
      </c>
      <c r="G68" s="8" t="n">
        <v>2000</v>
      </c>
      <c r="H68" s="13" t="n"/>
      <c r="I68" s="13" t="n">
        <v>0.2</v>
      </c>
      <c r="J68" s="18">
        <f>IF($B68="","",SUMIFS(Itens!$E$2:$E$158,Itens!$A$2:$A$158,$B68)+N(F68))</f>
        <v/>
      </c>
      <c r="K68" s="18">
        <f>IF($B68="","",N(D68)/60*Parâmetros!$B$57)</f>
        <v/>
      </c>
      <c r="L68" s="18">
        <f>IF($B68="","",N(D68)/60*Parâmetros!$B$60)</f>
        <v/>
      </c>
      <c r="M68" s="11">
        <f>IF($B68="","",J68+N(E68)+K68+L68)</f>
        <v/>
      </c>
      <c r="N68" s="19">
        <f>IF($B68="","",IF(H68="",Parâmetros!$B$62,H68))</f>
        <v/>
      </c>
      <c r="O68" s="19">
        <f>IF($B68="","",IF(I68="",Parâmetros!$B$63,I68))</f>
        <v/>
      </c>
      <c r="P68" s="18">
        <f>IF($B68="","",IF(1-(Parâmetros!$B$61+N68+Parâmetros!$B$78)-Parâmetros!$B$66-O68&lt;=0,"ERRO",M68/(1-(Parâmetros!$B$61+N68+Parâmetros!$B$78)-Parâmetros!$B$66-O68)))</f>
        <v/>
      </c>
      <c r="Q68" s="18">
        <f>IF($B68="","",IF((1-Parâmetros!$B$65)*(1-(Parâmetros!$B$61+N68+Parâmetros!$B$78))-O68&lt;=0,"ERRO",(1-Parâmetros!$B$65)*M68/((1-Parâmetros!$B$65)*(1-(Parâmetros!$B$61+N68+Parâmetros!$B$78))-O68)))</f>
        <v/>
      </c>
      <c r="R68" s="11">
        <f>IF($B68="","",IF(Parâmetros!$B$64=2,P68,Q68))</f>
        <v/>
      </c>
      <c r="S68" s="18">
        <f>IF($B68="","",IF(Parâmetros!$B$64=2,IF(1-(Parâmetros!$B$61+N68+Parâmetros!$B$78)-Parâmetros!$B$66&lt;=0,"ERRO",M68/(1-(Parâmetros!$B$61+N68+Parâmetros!$B$78)-Parâmetros!$B$66)),IF((1-Parâmetros!$B$65)*(1-(Parâmetros!$B$61+N68+Parâmetros!$B$78))&lt;=0,"ERRO",(1-Parâmetros!$B$65)*M68/((1-Parâmetros!$B$65)*(1-(Parâmetros!$B$61+N68+Parâmetros!$B$78))))))</f>
        <v/>
      </c>
      <c r="T68" s="18">
        <f>IF($B68="","",IF(ISNUMBER(R68),R68*Parâmetros!$B$61,""))</f>
        <v/>
      </c>
      <c r="U68" s="18">
        <f>IF($B68="","",IF(ISNUMBER(R68),R68*N68,""))</f>
        <v/>
      </c>
      <c r="V68" s="18">
        <f>IF($B68="","",IF(ISNUMBER(R68),R68*Parâmetros!$B$78,""))</f>
        <v/>
      </c>
      <c r="W68" s="18">
        <f>IF($B68="","",IF(ISNUMBER(R68),IF(Parâmetros!$B$64=2,R68*Parâmetros!$B$66,Parâmetros!$B$65*(R68-M68-R68*(Parâmetros!$B$61+N68+Parâmetros!$B$78))),""))</f>
        <v/>
      </c>
      <c r="X68" s="11">
        <f>IF($B68="","",IF(ISNUMBER(R68),R68-M68-T68-U68-V68-W68,""))</f>
        <v/>
      </c>
      <c r="Y68" s="19">
        <f>IF($B68="","",IF(AND(ISNUMBER(R68),R68&gt;0),X68/R68,""))</f>
        <v/>
      </c>
      <c r="Z68" s="18">
        <f>IF($B68="","",IF(AND(ISNUMBER(R68),ISNUMBER(G68)),R68-G68,""))</f>
        <v/>
      </c>
      <c r="AA68" s="20">
        <f>IF($B68="","",IF(NOT(ISNUMBER(R68)),"Percentuais ≥ 100%",IF(N(D68)=0,"Sem tempo",IF(J68=0,"Sem materiais",""))))</f>
        <v/>
      </c>
    </row>
    <row r="69">
      <c r="A69" s="7" t="n"/>
      <c r="B69" s="7" t="n"/>
      <c r="C69" s="7" t="n"/>
      <c r="D69" s="7" t="n"/>
      <c r="E69" s="8" t="n"/>
      <c r="F69" s="8" t="n"/>
      <c r="G69" s="8" t="n"/>
      <c r="H69" s="13" t="n"/>
      <c r="I69" s="13" t="n"/>
      <c r="J69" s="18">
        <f>IF($B69="","",SUMIFS(Itens!$E$2:$E$158,Itens!$A$2:$A$158,$B69)+N(F69))</f>
        <v/>
      </c>
      <c r="K69" s="18">
        <f>IF($B69="","",N(D69)/60*Parâmetros!$B$57)</f>
        <v/>
      </c>
      <c r="L69" s="18">
        <f>IF($B69="","",N(D69)/60*Parâmetros!$B$60)</f>
        <v/>
      </c>
      <c r="M69" s="11">
        <f>IF($B69="","",J69+N(E69)+K69+L69)</f>
        <v/>
      </c>
      <c r="N69" s="19">
        <f>IF($B69="","",IF(H69="",Parâmetros!$B$62,H69))</f>
        <v/>
      </c>
      <c r="O69" s="19">
        <f>IF($B69="","",IF(I69="",Parâmetros!$B$63,I69))</f>
        <v/>
      </c>
      <c r="P69" s="18">
        <f>IF($B69="","",IF(1-(Parâmetros!$B$61+N69+Parâmetros!$B$78)-Parâmetros!$B$66-O69&lt;=0,"ERRO",M69/(1-(Parâmetros!$B$61+N69+Parâmetros!$B$78)-Parâmetros!$B$66-O69)))</f>
        <v/>
      </c>
      <c r="Q69" s="18">
        <f>IF($B69="","",IF((1-Parâmetros!$B$65)*(1-(Parâmetros!$B$61+N69+Parâmetros!$B$78))-O69&lt;=0,"ERRO",(1-Parâmetros!$B$65)*M69/((1-Parâmetros!$B$65)*(1-(Parâmetros!$B$61+N69+Parâmetros!$B$78))-O69)))</f>
        <v/>
      </c>
      <c r="R69" s="11">
        <f>IF($B69="","",IF(Parâmetros!$B$64=2,P69,Q69))</f>
        <v/>
      </c>
      <c r="S69" s="18">
        <f>IF($B69="","",IF(Parâmetros!$B$64=2,IF(1-(Parâmetros!$B$61+N69+Parâmetros!$B$78)-Parâmetros!$B$66&lt;=0,"ERRO",M69/(1-(Parâmetros!$B$61+N69+Parâmetros!$B$78)-Parâmetros!$B$66)),IF((1-Parâmetros!$B$65)*(1-(Parâmetros!$B$61+N69+Parâmetros!$B$78))&lt;=0,"ERRO",(1-Parâmetros!$B$65)*M69/((1-Parâmetros!$B$65)*(1-(Parâmetros!$B$61+N69+Parâmetros!$B$78))))))</f>
        <v/>
      </c>
      <c r="T69" s="18">
        <f>IF($B69="","",IF(ISNUMBER(R69),R69*Parâmetros!$B$61,""))</f>
        <v/>
      </c>
      <c r="U69" s="18">
        <f>IF($B69="","",IF(ISNUMBER(R69),R69*N69,""))</f>
        <v/>
      </c>
      <c r="V69" s="18">
        <f>IF($B69="","",IF(ISNUMBER(R69),R69*Parâmetros!$B$78,""))</f>
        <v/>
      </c>
      <c r="W69" s="18">
        <f>IF($B69="","",IF(ISNUMBER(R69),IF(Parâmetros!$B$64=2,R69*Parâmetros!$B$66,Parâmetros!$B$65*(R69-M69-R69*(Parâmetros!$B$61+N69+Parâmetros!$B$78))),""))</f>
        <v/>
      </c>
      <c r="X69" s="11">
        <f>IF($B69="","",IF(ISNUMBER(R69),R69-M69-T69-U69-V69-W69,""))</f>
        <v/>
      </c>
      <c r="Y69" s="19">
        <f>IF($B69="","",IF(AND(ISNUMBER(R69),R69&gt;0),X69/R69,""))</f>
        <v/>
      </c>
      <c r="Z69" s="18">
        <f>IF($B69="","",IF(AND(ISNUMBER(R69),ISNUMBER(G69)),R69-G69,""))</f>
        <v/>
      </c>
      <c r="AA69" s="20">
        <f>IF($B69="","",IF(NOT(ISNUMBER(R69)),"Percentuais ≥ 100%",IF(N(D69)=0,"Sem tempo",IF(J69=0,"Sem materiais",""))))</f>
        <v/>
      </c>
    </row>
    <row r="70">
      <c r="A70" s="7" t="n"/>
      <c r="B70" s="7" t="n"/>
      <c r="C70" s="7" t="n"/>
      <c r="D70" s="7" t="n"/>
      <c r="E70" s="8" t="n"/>
      <c r="F70" s="8" t="n"/>
      <c r="G70" s="8" t="n"/>
      <c r="H70" s="13" t="n"/>
      <c r="I70" s="13" t="n"/>
      <c r="J70" s="18">
        <f>IF($B70="","",SUMIFS(Itens!$E$2:$E$158,Itens!$A$2:$A$158,$B70)+N(F70))</f>
        <v/>
      </c>
      <c r="K70" s="18">
        <f>IF($B70="","",N(D70)/60*Parâmetros!$B$57)</f>
        <v/>
      </c>
      <c r="L70" s="18">
        <f>IF($B70="","",N(D70)/60*Parâmetros!$B$60)</f>
        <v/>
      </c>
      <c r="M70" s="11">
        <f>IF($B70="","",J70+N(E70)+K70+L70)</f>
        <v/>
      </c>
      <c r="N70" s="19">
        <f>IF($B70="","",IF(H70="",Parâmetros!$B$62,H70))</f>
        <v/>
      </c>
      <c r="O70" s="19">
        <f>IF($B70="","",IF(I70="",Parâmetros!$B$63,I70))</f>
        <v/>
      </c>
      <c r="P70" s="18">
        <f>IF($B70="","",IF(1-(Parâmetros!$B$61+N70+Parâmetros!$B$78)-Parâmetros!$B$66-O70&lt;=0,"ERRO",M70/(1-(Parâmetros!$B$61+N70+Parâmetros!$B$78)-Parâmetros!$B$66-O70)))</f>
        <v/>
      </c>
      <c r="Q70" s="18">
        <f>IF($B70="","",IF((1-Parâmetros!$B$65)*(1-(Parâmetros!$B$61+N70+Parâmetros!$B$78))-O70&lt;=0,"ERRO",(1-Parâmetros!$B$65)*M70/((1-Parâmetros!$B$65)*(1-(Parâmetros!$B$61+N70+Parâmetros!$B$78))-O70)))</f>
        <v/>
      </c>
      <c r="R70" s="11">
        <f>IF($B70="","",IF(Parâmetros!$B$64=2,P70,Q70))</f>
        <v/>
      </c>
      <c r="S70" s="18">
        <f>IF($B70="","",IF(Parâmetros!$B$64=2,IF(1-(Parâmetros!$B$61+N70+Parâmetros!$B$78)-Parâmetros!$B$66&lt;=0,"ERRO",M70/(1-(Parâmetros!$B$61+N70+Parâmetros!$B$78)-Parâmetros!$B$66)),IF((1-Parâmetros!$B$65)*(1-(Parâmetros!$B$61+N70+Parâmetros!$B$78))&lt;=0,"ERRO",(1-Parâmetros!$B$65)*M70/((1-Parâmetros!$B$65)*(1-(Parâmetros!$B$61+N70+Parâmetros!$B$78))))))</f>
        <v/>
      </c>
      <c r="T70" s="18">
        <f>IF($B70="","",IF(ISNUMBER(R70),R70*Parâmetros!$B$61,""))</f>
        <v/>
      </c>
      <c r="U70" s="18">
        <f>IF($B70="","",IF(ISNUMBER(R70),R70*N70,""))</f>
        <v/>
      </c>
      <c r="V70" s="18">
        <f>IF($B70="","",IF(ISNUMBER(R70),R70*Parâmetros!$B$78,""))</f>
        <v/>
      </c>
      <c r="W70" s="18">
        <f>IF($B70="","",IF(ISNUMBER(R70),IF(Parâmetros!$B$64=2,R70*Parâmetros!$B$66,Parâmetros!$B$65*(R70-M70-R70*(Parâmetros!$B$61+N70+Parâmetros!$B$78))),""))</f>
        <v/>
      </c>
      <c r="X70" s="11">
        <f>IF($B70="","",IF(ISNUMBER(R70),R70-M70-T70-U70-V70-W70,""))</f>
        <v/>
      </c>
      <c r="Y70" s="19">
        <f>IF($B70="","",IF(AND(ISNUMBER(R70),R70&gt;0),X70/R70,""))</f>
        <v/>
      </c>
      <c r="Z70" s="18">
        <f>IF($B70="","",IF(AND(ISNUMBER(R70),ISNUMBER(G70)),R70-G70,""))</f>
        <v/>
      </c>
      <c r="AA70" s="20">
        <f>IF($B70="","",IF(NOT(ISNUMBER(R70)),"Percentuais ≥ 100%",IF(N(D70)=0,"Sem tempo",IF(J70=0,"Sem materiais",""))))</f>
        <v/>
      </c>
    </row>
    <row r="71">
      <c r="A71" s="7" t="n"/>
      <c r="B71" s="7" t="n"/>
      <c r="C71" s="7" t="n"/>
      <c r="D71" s="7" t="n"/>
      <c r="E71" s="8" t="n"/>
      <c r="F71" s="8" t="n"/>
      <c r="G71" s="8" t="n"/>
      <c r="H71" s="13" t="n"/>
      <c r="I71" s="13" t="n"/>
      <c r="J71" s="18">
        <f>IF($B71="","",SUMIFS(Itens!$E$2:$E$158,Itens!$A$2:$A$158,$B71)+N(F71))</f>
        <v/>
      </c>
      <c r="K71" s="18">
        <f>IF($B71="","",N(D71)/60*Parâmetros!$B$57)</f>
        <v/>
      </c>
      <c r="L71" s="18">
        <f>IF($B71="","",N(D71)/60*Parâmetros!$B$60)</f>
        <v/>
      </c>
      <c r="M71" s="11">
        <f>IF($B71="","",J71+N(E71)+K71+L71)</f>
        <v/>
      </c>
      <c r="N71" s="19">
        <f>IF($B71="","",IF(H71="",Parâmetros!$B$62,H71))</f>
        <v/>
      </c>
      <c r="O71" s="19">
        <f>IF($B71="","",IF(I71="",Parâmetros!$B$63,I71))</f>
        <v/>
      </c>
      <c r="P71" s="18">
        <f>IF($B71="","",IF(1-(Parâmetros!$B$61+N71+Parâmetros!$B$78)-Parâmetros!$B$66-O71&lt;=0,"ERRO",M71/(1-(Parâmetros!$B$61+N71+Parâmetros!$B$78)-Parâmetros!$B$66-O71)))</f>
        <v/>
      </c>
      <c r="Q71" s="18">
        <f>IF($B71="","",IF((1-Parâmetros!$B$65)*(1-(Parâmetros!$B$61+N71+Parâmetros!$B$78))-O71&lt;=0,"ERRO",(1-Parâmetros!$B$65)*M71/((1-Parâmetros!$B$65)*(1-(Parâmetros!$B$61+N71+Parâmetros!$B$78))-O71)))</f>
        <v/>
      </c>
      <c r="R71" s="11">
        <f>IF($B71="","",IF(Parâmetros!$B$64=2,P71,Q71))</f>
        <v/>
      </c>
      <c r="S71" s="18">
        <f>IF($B71="","",IF(Parâmetros!$B$64=2,IF(1-(Parâmetros!$B$61+N71+Parâmetros!$B$78)-Parâmetros!$B$66&lt;=0,"ERRO",M71/(1-(Parâmetros!$B$61+N71+Parâmetros!$B$78)-Parâmetros!$B$66)),IF((1-Parâmetros!$B$65)*(1-(Parâmetros!$B$61+N71+Parâmetros!$B$78))&lt;=0,"ERRO",(1-Parâmetros!$B$65)*M71/((1-Parâmetros!$B$65)*(1-(Parâmetros!$B$61+N71+Parâmetros!$B$78))))))</f>
        <v/>
      </c>
      <c r="T71" s="18">
        <f>IF($B71="","",IF(ISNUMBER(R71),R71*Parâmetros!$B$61,""))</f>
        <v/>
      </c>
      <c r="U71" s="18">
        <f>IF($B71="","",IF(ISNUMBER(R71),R71*N71,""))</f>
        <v/>
      </c>
      <c r="V71" s="18">
        <f>IF($B71="","",IF(ISNUMBER(R71),R71*Parâmetros!$B$78,""))</f>
        <v/>
      </c>
      <c r="W71" s="18">
        <f>IF($B71="","",IF(ISNUMBER(R71),IF(Parâmetros!$B$64=2,R71*Parâmetros!$B$66,Parâmetros!$B$65*(R71-M71-R71*(Parâmetros!$B$61+N71+Parâmetros!$B$78))),""))</f>
        <v/>
      </c>
      <c r="X71" s="11">
        <f>IF($B71="","",IF(ISNUMBER(R71),R71-M71-T71-U71-V71-W71,""))</f>
        <v/>
      </c>
      <c r="Y71" s="19">
        <f>IF($B71="","",IF(AND(ISNUMBER(R71),R71&gt;0),X71/R71,""))</f>
        <v/>
      </c>
      <c r="Z71" s="18">
        <f>IF($B71="","",IF(AND(ISNUMBER(R71),ISNUMBER(G71)),R71-G71,""))</f>
        <v/>
      </c>
      <c r="AA71" s="20">
        <f>IF($B71="","",IF(NOT(ISNUMBER(R71)),"Percentuais ≥ 100%",IF(N(D71)=0,"Sem tempo",IF(J71=0,"Sem materiais",""))))</f>
        <v/>
      </c>
    </row>
    <row r="72">
      <c r="A72" s="7" t="n"/>
      <c r="B72" s="7" t="n"/>
      <c r="C72" s="7" t="n"/>
      <c r="D72" s="7" t="n"/>
      <c r="E72" s="8" t="n"/>
      <c r="F72" s="8" t="n"/>
      <c r="G72" s="8" t="n"/>
      <c r="H72" s="13" t="n"/>
      <c r="I72" s="13" t="n"/>
      <c r="J72" s="18">
        <f>IF($B72="","",SUMIFS(Itens!$E$2:$E$158,Itens!$A$2:$A$158,$B72)+N(F72))</f>
        <v/>
      </c>
      <c r="K72" s="18">
        <f>IF($B72="","",N(D72)/60*Parâmetros!$B$57)</f>
        <v/>
      </c>
      <c r="L72" s="18">
        <f>IF($B72="","",N(D72)/60*Parâmetros!$B$60)</f>
        <v/>
      </c>
      <c r="M72" s="11">
        <f>IF($B72="","",J72+N(E72)+K72+L72)</f>
        <v/>
      </c>
      <c r="N72" s="19">
        <f>IF($B72="","",IF(H72="",Parâmetros!$B$62,H72))</f>
        <v/>
      </c>
      <c r="O72" s="19">
        <f>IF($B72="","",IF(I72="",Parâmetros!$B$63,I72))</f>
        <v/>
      </c>
      <c r="P72" s="18">
        <f>IF($B72="","",IF(1-(Parâmetros!$B$61+N72+Parâmetros!$B$78)-Parâmetros!$B$66-O72&lt;=0,"ERRO",M72/(1-(Parâmetros!$B$61+N72+Parâmetros!$B$78)-Parâmetros!$B$66-O72)))</f>
        <v/>
      </c>
      <c r="Q72" s="18">
        <f>IF($B72="","",IF((1-Parâmetros!$B$65)*(1-(Parâmetros!$B$61+N72+Parâmetros!$B$78))-O72&lt;=0,"ERRO",(1-Parâmetros!$B$65)*M72/((1-Parâmetros!$B$65)*(1-(Parâmetros!$B$61+N72+Parâmetros!$B$78))-O72)))</f>
        <v/>
      </c>
      <c r="R72" s="11">
        <f>IF($B72="","",IF(Parâmetros!$B$64=2,P72,Q72))</f>
        <v/>
      </c>
      <c r="S72" s="18">
        <f>IF($B72="","",IF(Parâmetros!$B$64=2,IF(1-(Parâmetros!$B$61+N72+Parâmetros!$B$78)-Parâmetros!$B$66&lt;=0,"ERRO",M72/(1-(Parâmetros!$B$61+N72+Parâmetros!$B$78)-Parâmetros!$B$66)),IF((1-Parâmetros!$B$65)*(1-(Parâmetros!$B$61+N72+Parâmetros!$B$78))&lt;=0,"ERRO",(1-Parâmetros!$B$65)*M72/((1-Parâmetros!$B$65)*(1-(Parâmetros!$B$61+N72+Parâmetros!$B$78))))))</f>
        <v/>
      </c>
      <c r="T72" s="18">
        <f>IF($B72="","",IF(ISNUMBER(R72),R72*Parâmetros!$B$61,""))</f>
        <v/>
      </c>
      <c r="U72" s="18">
        <f>IF($B72="","",IF(ISNUMBER(R72),R72*N72,""))</f>
        <v/>
      </c>
      <c r="V72" s="18">
        <f>IF($B72="","",IF(ISNUMBER(R72),R72*Parâmetros!$B$78,""))</f>
        <v/>
      </c>
      <c r="W72" s="18">
        <f>IF($B72="","",IF(ISNUMBER(R72),IF(Parâmetros!$B$64=2,R72*Parâmetros!$B$66,Parâmetros!$B$65*(R72-M72-R72*(Parâmetros!$B$61+N72+Parâmetros!$B$78))),""))</f>
        <v/>
      </c>
      <c r="X72" s="11">
        <f>IF($B72="","",IF(ISNUMBER(R72),R72-M72-T72-U72-V72-W72,""))</f>
        <v/>
      </c>
      <c r="Y72" s="19">
        <f>IF($B72="","",IF(AND(ISNUMBER(R72),R72&gt;0),X72/R72,""))</f>
        <v/>
      </c>
      <c r="Z72" s="18">
        <f>IF($B72="","",IF(AND(ISNUMBER(R72),ISNUMBER(G72)),R72-G72,""))</f>
        <v/>
      </c>
      <c r="AA72" s="20">
        <f>IF($B72="","",IF(NOT(ISNUMBER(R72)),"Percentuais ≥ 100%",IF(N(D72)=0,"Sem tempo",IF(J72=0,"Sem materiais",""))))</f>
        <v/>
      </c>
    </row>
    <row r="73">
      <c r="A73" s="7" t="n"/>
      <c r="B73" s="7" t="n"/>
      <c r="C73" s="7" t="n"/>
      <c r="D73" s="7" t="n"/>
      <c r="E73" s="8" t="n"/>
      <c r="F73" s="8" t="n"/>
      <c r="G73" s="8" t="n"/>
      <c r="H73" s="13" t="n"/>
      <c r="I73" s="13" t="n"/>
      <c r="J73" s="18">
        <f>IF($B73="","",SUMIFS(Itens!$E$2:$E$158,Itens!$A$2:$A$158,$B73)+N(F73))</f>
        <v/>
      </c>
      <c r="K73" s="18">
        <f>IF($B73="","",N(D73)/60*Parâmetros!$B$57)</f>
        <v/>
      </c>
      <c r="L73" s="18">
        <f>IF($B73="","",N(D73)/60*Parâmetros!$B$60)</f>
        <v/>
      </c>
      <c r="M73" s="11">
        <f>IF($B73="","",J73+N(E73)+K73+L73)</f>
        <v/>
      </c>
      <c r="N73" s="19">
        <f>IF($B73="","",IF(H73="",Parâmetros!$B$62,H73))</f>
        <v/>
      </c>
      <c r="O73" s="19">
        <f>IF($B73="","",IF(I73="",Parâmetros!$B$63,I73))</f>
        <v/>
      </c>
      <c r="P73" s="18">
        <f>IF($B73="","",IF(1-(Parâmetros!$B$61+N73+Parâmetros!$B$78)-Parâmetros!$B$66-O73&lt;=0,"ERRO",M73/(1-(Parâmetros!$B$61+N73+Parâmetros!$B$78)-Parâmetros!$B$66-O73)))</f>
        <v/>
      </c>
      <c r="Q73" s="18">
        <f>IF($B73="","",IF((1-Parâmetros!$B$65)*(1-(Parâmetros!$B$61+N73+Parâmetros!$B$78))-O73&lt;=0,"ERRO",(1-Parâmetros!$B$65)*M73/((1-Parâmetros!$B$65)*(1-(Parâmetros!$B$61+N73+Parâmetros!$B$78))-O73)))</f>
        <v/>
      </c>
      <c r="R73" s="11">
        <f>IF($B73="","",IF(Parâmetros!$B$64=2,P73,Q73))</f>
        <v/>
      </c>
      <c r="S73" s="18">
        <f>IF($B73="","",IF(Parâmetros!$B$64=2,IF(1-(Parâmetros!$B$61+N73+Parâmetros!$B$78)-Parâmetros!$B$66&lt;=0,"ERRO",M73/(1-(Parâmetros!$B$61+N73+Parâmetros!$B$78)-Parâmetros!$B$66)),IF((1-Parâmetros!$B$65)*(1-(Parâmetros!$B$61+N73+Parâmetros!$B$78))&lt;=0,"ERRO",(1-Parâmetros!$B$65)*M73/((1-Parâmetros!$B$65)*(1-(Parâmetros!$B$61+N73+Parâmetros!$B$78))))))</f>
        <v/>
      </c>
      <c r="T73" s="18">
        <f>IF($B73="","",IF(ISNUMBER(R73),R73*Parâmetros!$B$61,""))</f>
        <v/>
      </c>
      <c r="U73" s="18">
        <f>IF($B73="","",IF(ISNUMBER(R73),R73*N73,""))</f>
        <v/>
      </c>
      <c r="V73" s="18">
        <f>IF($B73="","",IF(ISNUMBER(R73),R73*Parâmetros!$B$78,""))</f>
        <v/>
      </c>
      <c r="W73" s="18">
        <f>IF($B73="","",IF(ISNUMBER(R73),IF(Parâmetros!$B$64=2,R73*Parâmetros!$B$66,Parâmetros!$B$65*(R73-M73-R73*(Parâmetros!$B$61+N73+Parâmetros!$B$78))),""))</f>
        <v/>
      </c>
      <c r="X73" s="11">
        <f>IF($B73="","",IF(ISNUMBER(R73),R73-M73-T73-U73-V73-W73,""))</f>
        <v/>
      </c>
      <c r="Y73" s="19">
        <f>IF($B73="","",IF(AND(ISNUMBER(R73),R73&gt;0),X73/R73,""))</f>
        <v/>
      </c>
      <c r="Z73" s="18">
        <f>IF($B73="","",IF(AND(ISNUMBER(R73),ISNUMBER(G73)),R73-G73,""))</f>
        <v/>
      </c>
      <c r="AA73" s="20">
        <f>IF($B73="","",IF(NOT(ISNUMBER(R73)),"Percentuais ≥ 100%",IF(N(D73)=0,"Sem tempo",IF(J73=0,"Sem materiais",""))))</f>
        <v/>
      </c>
    </row>
    <row r="74">
      <c r="A74" s="7" t="n"/>
      <c r="B74" s="7" t="n"/>
      <c r="C74" s="7" t="n"/>
      <c r="D74" s="7" t="n"/>
      <c r="E74" s="8" t="n"/>
      <c r="F74" s="8" t="n"/>
      <c r="G74" s="8" t="n"/>
      <c r="H74" s="13" t="n"/>
      <c r="I74" s="13" t="n"/>
      <c r="J74" s="18">
        <f>IF($B74="","",SUMIFS(Itens!$E$2:$E$158,Itens!$A$2:$A$158,$B74)+N(F74))</f>
        <v/>
      </c>
      <c r="K74" s="18">
        <f>IF($B74="","",N(D74)/60*Parâmetros!$B$57)</f>
        <v/>
      </c>
      <c r="L74" s="18">
        <f>IF($B74="","",N(D74)/60*Parâmetros!$B$60)</f>
        <v/>
      </c>
      <c r="M74" s="11">
        <f>IF($B74="","",J74+N(E74)+K74+L74)</f>
        <v/>
      </c>
      <c r="N74" s="19">
        <f>IF($B74="","",IF(H74="",Parâmetros!$B$62,H74))</f>
        <v/>
      </c>
      <c r="O74" s="19">
        <f>IF($B74="","",IF(I74="",Parâmetros!$B$63,I74))</f>
        <v/>
      </c>
      <c r="P74" s="18">
        <f>IF($B74="","",IF(1-(Parâmetros!$B$61+N74+Parâmetros!$B$78)-Parâmetros!$B$66-O74&lt;=0,"ERRO",M74/(1-(Parâmetros!$B$61+N74+Parâmetros!$B$78)-Parâmetros!$B$66-O74)))</f>
        <v/>
      </c>
      <c r="Q74" s="18">
        <f>IF($B74="","",IF((1-Parâmetros!$B$65)*(1-(Parâmetros!$B$61+N74+Parâmetros!$B$78))-O74&lt;=0,"ERRO",(1-Parâmetros!$B$65)*M74/((1-Parâmetros!$B$65)*(1-(Parâmetros!$B$61+N74+Parâmetros!$B$78))-O74)))</f>
        <v/>
      </c>
      <c r="R74" s="11">
        <f>IF($B74="","",IF(Parâmetros!$B$64=2,P74,Q74))</f>
        <v/>
      </c>
      <c r="S74" s="18">
        <f>IF($B74="","",IF(Parâmetros!$B$64=2,IF(1-(Parâmetros!$B$61+N74+Parâmetros!$B$78)-Parâmetros!$B$66&lt;=0,"ERRO",M74/(1-(Parâmetros!$B$61+N74+Parâmetros!$B$78)-Parâmetros!$B$66)),IF((1-Parâmetros!$B$65)*(1-(Parâmetros!$B$61+N74+Parâmetros!$B$78))&lt;=0,"ERRO",(1-Parâmetros!$B$65)*M74/((1-Parâmetros!$B$65)*(1-(Parâmetros!$B$61+N74+Parâmetros!$B$78))))))</f>
        <v/>
      </c>
      <c r="T74" s="18">
        <f>IF($B74="","",IF(ISNUMBER(R74),R74*Parâmetros!$B$61,""))</f>
        <v/>
      </c>
      <c r="U74" s="18">
        <f>IF($B74="","",IF(ISNUMBER(R74),R74*N74,""))</f>
        <v/>
      </c>
      <c r="V74" s="18">
        <f>IF($B74="","",IF(ISNUMBER(R74),R74*Parâmetros!$B$78,""))</f>
        <v/>
      </c>
      <c r="W74" s="18">
        <f>IF($B74="","",IF(ISNUMBER(R74),IF(Parâmetros!$B$64=2,R74*Parâmetros!$B$66,Parâmetros!$B$65*(R74-M74-R74*(Parâmetros!$B$61+N74+Parâmetros!$B$78))),""))</f>
        <v/>
      </c>
      <c r="X74" s="11">
        <f>IF($B74="","",IF(ISNUMBER(R74),R74-M74-T74-U74-V74-W74,""))</f>
        <v/>
      </c>
      <c r="Y74" s="19">
        <f>IF($B74="","",IF(AND(ISNUMBER(R74),R74&gt;0),X74/R74,""))</f>
        <v/>
      </c>
      <c r="Z74" s="18">
        <f>IF($B74="","",IF(AND(ISNUMBER(R74),ISNUMBER(G74)),R74-G74,""))</f>
        <v/>
      </c>
      <c r="AA74" s="20">
        <f>IF($B74="","",IF(NOT(ISNUMBER(R74)),"Percentuais ≥ 100%",IF(N(D74)=0,"Sem tempo",IF(J74=0,"Sem materiais",""))))</f>
        <v/>
      </c>
    </row>
    <row r="75">
      <c r="A75" s="7" t="n"/>
      <c r="B75" s="7" t="n"/>
      <c r="C75" s="7" t="n"/>
      <c r="D75" s="7" t="n"/>
      <c r="E75" s="8" t="n"/>
      <c r="F75" s="8" t="n"/>
      <c r="G75" s="8" t="n"/>
      <c r="H75" s="13" t="n"/>
      <c r="I75" s="13" t="n"/>
      <c r="J75" s="18">
        <f>IF($B75="","",SUMIFS(Itens!$E$2:$E$158,Itens!$A$2:$A$158,$B75)+N(F75))</f>
        <v/>
      </c>
      <c r="K75" s="18">
        <f>IF($B75="","",N(D75)/60*Parâmetros!$B$57)</f>
        <v/>
      </c>
      <c r="L75" s="18">
        <f>IF($B75="","",N(D75)/60*Parâmetros!$B$60)</f>
        <v/>
      </c>
      <c r="M75" s="11">
        <f>IF($B75="","",J75+N(E75)+K75+L75)</f>
        <v/>
      </c>
      <c r="N75" s="19">
        <f>IF($B75="","",IF(H75="",Parâmetros!$B$62,H75))</f>
        <v/>
      </c>
      <c r="O75" s="19">
        <f>IF($B75="","",IF(I75="",Parâmetros!$B$63,I75))</f>
        <v/>
      </c>
      <c r="P75" s="18">
        <f>IF($B75="","",IF(1-(Parâmetros!$B$61+N75+Parâmetros!$B$78)-Parâmetros!$B$66-O75&lt;=0,"ERRO",M75/(1-(Parâmetros!$B$61+N75+Parâmetros!$B$78)-Parâmetros!$B$66-O75)))</f>
        <v/>
      </c>
      <c r="Q75" s="18">
        <f>IF($B75="","",IF((1-Parâmetros!$B$65)*(1-(Parâmetros!$B$61+N75+Parâmetros!$B$78))-O75&lt;=0,"ERRO",(1-Parâmetros!$B$65)*M75/((1-Parâmetros!$B$65)*(1-(Parâmetros!$B$61+N75+Parâmetros!$B$78))-O75)))</f>
        <v/>
      </c>
      <c r="R75" s="11">
        <f>IF($B75="","",IF(Parâmetros!$B$64=2,P75,Q75))</f>
        <v/>
      </c>
      <c r="S75" s="18">
        <f>IF($B75="","",IF(Parâmetros!$B$64=2,IF(1-(Parâmetros!$B$61+N75+Parâmetros!$B$78)-Parâmetros!$B$66&lt;=0,"ERRO",M75/(1-(Parâmetros!$B$61+N75+Parâmetros!$B$78)-Parâmetros!$B$66)),IF((1-Parâmetros!$B$65)*(1-(Parâmetros!$B$61+N75+Parâmetros!$B$78))&lt;=0,"ERRO",(1-Parâmetros!$B$65)*M75/((1-Parâmetros!$B$65)*(1-(Parâmetros!$B$61+N75+Parâmetros!$B$78))))))</f>
        <v/>
      </c>
      <c r="T75" s="18">
        <f>IF($B75="","",IF(ISNUMBER(R75),R75*Parâmetros!$B$61,""))</f>
        <v/>
      </c>
      <c r="U75" s="18">
        <f>IF($B75="","",IF(ISNUMBER(R75),R75*N75,""))</f>
        <v/>
      </c>
      <c r="V75" s="18">
        <f>IF($B75="","",IF(ISNUMBER(R75),R75*Parâmetros!$B$78,""))</f>
        <v/>
      </c>
      <c r="W75" s="18">
        <f>IF($B75="","",IF(ISNUMBER(R75),IF(Parâmetros!$B$64=2,R75*Parâmetros!$B$66,Parâmetros!$B$65*(R75-M75-R75*(Parâmetros!$B$61+N75+Parâmetros!$B$78))),""))</f>
        <v/>
      </c>
      <c r="X75" s="11">
        <f>IF($B75="","",IF(ISNUMBER(R75),R75-M75-T75-U75-V75-W75,""))</f>
        <v/>
      </c>
      <c r="Y75" s="19">
        <f>IF($B75="","",IF(AND(ISNUMBER(R75),R75&gt;0),X75/R75,""))</f>
        <v/>
      </c>
      <c r="Z75" s="18">
        <f>IF($B75="","",IF(AND(ISNUMBER(R75),ISNUMBER(G75)),R75-G75,""))</f>
        <v/>
      </c>
      <c r="AA75" s="20">
        <f>IF($B75="","",IF(NOT(ISNUMBER(R75)),"Percentuais ≥ 100%",IF(N(D75)=0,"Sem tempo",IF(J75=0,"Sem materiais",""))))</f>
        <v/>
      </c>
    </row>
    <row r="76">
      <c r="A76" s="7" t="n"/>
      <c r="B76" s="7" t="n"/>
      <c r="C76" s="7" t="n"/>
      <c r="D76" s="7" t="n"/>
      <c r="E76" s="8" t="n"/>
      <c r="F76" s="8" t="n"/>
      <c r="G76" s="8" t="n"/>
      <c r="H76" s="13" t="n"/>
      <c r="I76" s="13" t="n"/>
      <c r="J76" s="18">
        <f>IF($B76="","",SUMIFS(Itens!$E$2:$E$158,Itens!$A$2:$A$158,$B76)+N(F76))</f>
        <v/>
      </c>
      <c r="K76" s="18">
        <f>IF($B76="","",N(D76)/60*Parâmetros!$B$57)</f>
        <v/>
      </c>
      <c r="L76" s="18">
        <f>IF($B76="","",N(D76)/60*Parâmetros!$B$60)</f>
        <v/>
      </c>
      <c r="M76" s="11">
        <f>IF($B76="","",J76+N(E76)+K76+L76)</f>
        <v/>
      </c>
      <c r="N76" s="19">
        <f>IF($B76="","",IF(H76="",Parâmetros!$B$62,H76))</f>
        <v/>
      </c>
      <c r="O76" s="19">
        <f>IF($B76="","",IF(I76="",Parâmetros!$B$63,I76))</f>
        <v/>
      </c>
      <c r="P76" s="18">
        <f>IF($B76="","",IF(1-(Parâmetros!$B$61+N76+Parâmetros!$B$78)-Parâmetros!$B$66-O76&lt;=0,"ERRO",M76/(1-(Parâmetros!$B$61+N76+Parâmetros!$B$78)-Parâmetros!$B$66-O76)))</f>
        <v/>
      </c>
      <c r="Q76" s="18">
        <f>IF($B76="","",IF((1-Parâmetros!$B$65)*(1-(Parâmetros!$B$61+N76+Parâmetros!$B$78))-O76&lt;=0,"ERRO",(1-Parâmetros!$B$65)*M76/((1-Parâmetros!$B$65)*(1-(Parâmetros!$B$61+N76+Parâmetros!$B$78))-O76)))</f>
        <v/>
      </c>
      <c r="R76" s="11">
        <f>IF($B76="","",IF(Parâmetros!$B$64=2,P76,Q76))</f>
        <v/>
      </c>
      <c r="S76" s="18">
        <f>IF($B76="","",IF(Parâmetros!$B$64=2,IF(1-(Parâmetros!$B$61+N76+Parâmetros!$B$78)-Parâmetros!$B$66&lt;=0,"ERRO",M76/(1-(Parâmetros!$B$61+N76+Parâmetros!$B$78)-Parâmetros!$B$66)),IF((1-Parâmetros!$B$65)*(1-(Parâmetros!$B$61+N76+Parâmetros!$B$78))&lt;=0,"ERRO",(1-Parâmetros!$B$65)*M76/((1-Parâmetros!$B$65)*(1-(Parâmetros!$B$61+N76+Parâmetros!$B$78))))))</f>
        <v/>
      </c>
      <c r="T76" s="18">
        <f>IF($B76="","",IF(ISNUMBER(R76),R76*Parâmetros!$B$61,""))</f>
        <v/>
      </c>
      <c r="U76" s="18">
        <f>IF($B76="","",IF(ISNUMBER(R76),R76*N76,""))</f>
        <v/>
      </c>
      <c r="V76" s="18">
        <f>IF($B76="","",IF(ISNUMBER(R76),R76*Parâmetros!$B$78,""))</f>
        <v/>
      </c>
      <c r="W76" s="18">
        <f>IF($B76="","",IF(ISNUMBER(R76),IF(Parâmetros!$B$64=2,R76*Parâmetros!$B$66,Parâmetros!$B$65*(R76-M76-R76*(Parâmetros!$B$61+N76+Parâmetros!$B$78))),""))</f>
        <v/>
      </c>
      <c r="X76" s="11">
        <f>IF($B76="","",IF(ISNUMBER(R76),R76-M76-T76-U76-V76-W76,""))</f>
        <v/>
      </c>
      <c r="Y76" s="19">
        <f>IF($B76="","",IF(AND(ISNUMBER(R76),R76&gt;0),X76/R76,""))</f>
        <v/>
      </c>
      <c r="Z76" s="18">
        <f>IF($B76="","",IF(AND(ISNUMBER(R76),ISNUMBER(G76)),R76-G76,""))</f>
        <v/>
      </c>
      <c r="AA76" s="20">
        <f>IF($B76="","",IF(NOT(ISNUMBER(R76)),"Percentuais ≥ 100%",IF(N(D76)=0,"Sem tempo",IF(J76=0,"Sem materiais",""))))</f>
        <v/>
      </c>
    </row>
    <row r="77">
      <c r="A77" s="7" t="n"/>
      <c r="B77" s="7" t="n"/>
      <c r="C77" s="7" t="n"/>
      <c r="D77" s="7" t="n"/>
      <c r="E77" s="8" t="n"/>
      <c r="F77" s="8" t="n"/>
      <c r="G77" s="8" t="n"/>
      <c r="H77" s="13" t="n"/>
      <c r="I77" s="13" t="n"/>
      <c r="J77" s="18">
        <f>IF($B77="","",SUMIFS(Itens!$E$2:$E$158,Itens!$A$2:$A$158,$B77)+N(F77))</f>
        <v/>
      </c>
      <c r="K77" s="18">
        <f>IF($B77="","",N(D77)/60*Parâmetros!$B$57)</f>
        <v/>
      </c>
      <c r="L77" s="18">
        <f>IF($B77="","",N(D77)/60*Parâmetros!$B$60)</f>
        <v/>
      </c>
      <c r="M77" s="11">
        <f>IF($B77="","",J77+N(E77)+K77+L77)</f>
        <v/>
      </c>
      <c r="N77" s="19">
        <f>IF($B77="","",IF(H77="",Parâmetros!$B$62,H77))</f>
        <v/>
      </c>
      <c r="O77" s="19">
        <f>IF($B77="","",IF(I77="",Parâmetros!$B$63,I77))</f>
        <v/>
      </c>
      <c r="P77" s="18">
        <f>IF($B77="","",IF(1-(Parâmetros!$B$61+N77+Parâmetros!$B$78)-Parâmetros!$B$66-O77&lt;=0,"ERRO",M77/(1-(Parâmetros!$B$61+N77+Parâmetros!$B$78)-Parâmetros!$B$66-O77)))</f>
        <v/>
      </c>
      <c r="Q77" s="18">
        <f>IF($B77="","",IF((1-Parâmetros!$B$65)*(1-(Parâmetros!$B$61+N77+Parâmetros!$B$78))-O77&lt;=0,"ERRO",(1-Parâmetros!$B$65)*M77/((1-Parâmetros!$B$65)*(1-(Parâmetros!$B$61+N77+Parâmetros!$B$78))-O77)))</f>
        <v/>
      </c>
      <c r="R77" s="11">
        <f>IF($B77="","",IF(Parâmetros!$B$64=2,P77,Q77))</f>
        <v/>
      </c>
      <c r="S77" s="18">
        <f>IF($B77="","",IF(Parâmetros!$B$64=2,IF(1-(Parâmetros!$B$61+N77+Parâmetros!$B$78)-Parâmetros!$B$66&lt;=0,"ERRO",M77/(1-(Parâmetros!$B$61+N77+Parâmetros!$B$78)-Parâmetros!$B$66)),IF((1-Parâmetros!$B$65)*(1-(Parâmetros!$B$61+N77+Parâmetros!$B$78))&lt;=0,"ERRO",(1-Parâmetros!$B$65)*M77/((1-Parâmetros!$B$65)*(1-(Parâmetros!$B$61+N77+Parâmetros!$B$78))))))</f>
        <v/>
      </c>
      <c r="T77" s="18">
        <f>IF($B77="","",IF(ISNUMBER(R77),R77*Parâmetros!$B$61,""))</f>
        <v/>
      </c>
      <c r="U77" s="18">
        <f>IF($B77="","",IF(ISNUMBER(R77),R77*N77,""))</f>
        <v/>
      </c>
      <c r="V77" s="18">
        <f>IF($B77="","",IF(ISNUMBER(R77),R77*Parâmetros!$B$78,""))</f>
        <v/>
      </c>
      <c r="W77" s="18">
        <f>IF($B77="","",IF(ISNUMBER(R77),IF(Parâmetros!$B$64=2,R77*Parâmetros!$B$66,Parâmetros!$B$65*(R77-M77-R77*(Parâmetros!$B$61+N77+Parâmetros!$B$78))),""))</f>
        <v/>
      </c>
      <c r="X77" s="11">
        <f>IF($B77="","",IF(ISNUMBER(R77),R77-M77-T77-U77-V77-W77,""))</f>
        <v/>
      </c>
      <c r="Y77" s="19">
        <f>IF($B77="","",IF(AND(ISNUMBER(R77),R77&gt;0),X77/R77,""))</f>
        <v/>
      </c>
      <c r="Z77" s="18">
        <f>IF($B77="","",IF(AND(ISNUMBER(R77),ISNUMBER(G77)),R77-G77,""))</f>
        <v/>
      </c>
      <c r="AA77" s="20">
        <f>IF($B77="","",IF(NOT(ISNUMBER(R77)),"Percentuais ≥ 100%",IF(N(D77)=0,"Sem tempo",IF(J77=0,"Sem materiais",""))))</f>
        <v/>
      </c>
    </row>
    <row r="78">
      <c r="A78" s="7" t="n"/>
      <c r="B78" s="7" t="n"/>
      <c r="C78" s="7" t="n"/>
      <c r="D78" s="7" t="n"/>
      <c r="E78" s="8" t="n"/>
      <c r="F78" s="8" t="n"/>
      <c r="G78" s="8" t="n"/>
      <c r="H78" s="13" t="n"/>
      <c r="I78" s="13" t="n"/>
      <c r="J78" s="18">
        <f>IF($B78="","",SUMIFS(Itens!$E$2:$E$158,Itens!$A$2:$A$158,$B78)+N(F78))</f>
        <v/>
      </c>
      <c r="K78" s="18">
        <f>IF($B78="","",N(D78)/60*Parâmetros!$B$57)</f>
        <v/>
      </c>
      <c r="L78" s="18">
        <f>IF($B78="","",N(D78)/60*Parâmetros!$B$60)</f>
        <v/>
      </c>
      <c r="M78" s="11">
        <f>IF($B78="","",J78+N(E78)+K78+L78)</f>
        <v/>
      </c>
      <c r="N78" s="19">
        <f>IF($B78="","",IF(H78="",Parâmetros!$B$62,H78))</f>
        <v/>
      </c>
      <c r="O78" s="19">
        <f>IF($B78="","",IF(I78="",Parâmetros!$B$63,I78))</f>
        <v/>
      </c>
      <c r="P78" s="18">
        <f>IF($B78="","",IF(1-(Parâmetros!$B$61+N78+Parâmetros!$B$78)-Parâmetros!$B$66-O78&lt;=0,"ERRO",M78/(1-(Parâmetros!$B$61+N78+Parâmetros!$B$78)-Parâmetros!$B$66-O78)))</f>
        <v/>
      </c>
      <c r="Q78" s="18">
        <f>IF($B78="","",IF((1-Parâmetros!$B$65)*(1-(Parâmetros!$B$61+N78+Parâmetros!$B$78))-O78&lt;=0,"ERRO",(1-Parâmetros!$B$65)*M78/((1-Parâmetros!$B$65)*(1-(Parâmetros!$B$61+N78+Parâmetros!$B$78))-O78)))</f>
        <v/>
      </c>
      <c r="R78" s="11">
        <f>IF($B78="","",IF(Parâmetros!$B$64=2,P78,Q78))</f>
        <v/>
      </c>
      <c r="S78" s="18">
        <f>IF($B78="","",IF(Parâmetros!$B$64=2,IF(1-(Parâmetros!$B$61+N78+Parâmetros!$B$78)-Parâmetros!$B$66&lt;=0,"ERRO",M78/(1-(Parâmetros!$B$61+N78+Parâmetros!$B$78)-Parâmetros!$B$66)),IF((1-Parâmetros!$B$65)*(1-(Parâmetros!$B$61+N78+Parâmetros!$B$78))&lt;=0,"ERRO",(1-Parâmetros!$B$65)*M78/((1-Parâmetros!$B$65)*(1-(Parâmetros!$B$61+N78+Parâmetros!$B$78))))))</f>
        <v/>
      </c>
      <c r="T78" s="18">
        <f>IF($B78="","",IF(ISNUMBER(R78),R78*Parâmetros!$B$61,""))</f>
        <v/>
      </c>
      <c r="U78" s="18">
        <f>IF($B78="","",IF(ISNUMBER(R78),R78*N78,""))</f>
        <v/>
      </c>
      <c r="V78" s="18">
        <f>IF($B78="","",IF(ISNUMBER(R78),R78*Parâmetros!$B$78,""))</f>
        <v/>
      </c>
      <c r="W78" s="18">
        <f>IF($B78="","",IF(ISNUMBER(R78),IF(Parâmetros!$B$64=2,R78*Parâmetros!$B$66,Parâmetros!$B$65*(R78-M78-R78*(Parâmetros!$B$61+N78+Parâmetros!$B$78))),""))</f>
        <v/>
      </c>
      <c r="X78" s="11">
        <f>IF($B78="","",IF(ISNUMBER(R78),R78-M78-T78-U78-V78-W78,""))</f>
        <v/>
      </c>
      <c r="Y78" s="19">
        <f>IF($B78="","",IF(AND(ISNUMBER(R78),R78&gt;0),X78/R78,""))</f>
        <v/>
      </c>
      <c r="Z78" s="18">
        <f>IF($B78="","",IF(AND(ISNUMBER(R78),ISNUMBER(G78)),R78-G78,""))</f>
        <v/>
      </c>
      <c r="AA78" s="20">
        <f>IF($B78="","",IF(NOT(ISNUMBER(R78)),"Percentuais ≥ 100%",IF(N(D78)=0,"Sem tempo",IF(J78=0,"Sem materiais",""))))</f>
        <v/>
      </c>
    </row>
    <row r="79">
      <c r="A79" s="7" t="n"/>
      <c r="B79" s="7" t="n"/>
      <c r="C79" s="7" t="n"/>
      <c r="D79" s="7" t="n"/>
      <c r="E79" s="8" t="n"/>
      <c r="F79" s="8" t="n"/>
      <c r="G79" s="8" t="n"/>
      <c r="H79" s="13" t="n"/>
      <c r="I79" s="13" t="n"/>
      <c r="J79" s="18">
        <f>IF($B79="","",SUMIFS(Itens!$E$2:$E$158,Itens!$A$2:$A$158,$B79)+N(F79))</f>
        <v/>
      </c>
      <c r="K79" s="18">
        <f>IF($B79="","",N(D79)/60*Parâmetros!$B$57)</f>
        <v/>
      </c>
      <c r="L79" s="18">
        <f>IF($B79="","",N(D79)/60*Parâmetros!$B$60)</f>
        <v/>
      </c>
      <c r="M79" s="11">
        <f>IF($B79="","",J79+N(E79)+K79+L79)</f>
        <v/>
      </c>
      <c r="N79" s="19">
        <f>IF($B79="","",IF(H79="",Parâmetros!$B$62,H79))</f>
        <v/>
      </c>
      <c r="O79" s="19">
        <f>IF($B79="","",IF(I79="",Parâmetros!$B$63,I79))</f>
        <v/>
      </c>
      <c r="P79" s="18">
        <f>IF($B79="","",IF(1-(Parâmetros!$B$61+N79+Parâmetros!$B$78)-Parâmetros!$B$66-O79&lt;=0,"ERRO",M79/(1-(Parâmetros!$B$61+N79+Parâmetros!$B$78)-Parâmetros!$B$66-O79)))</f>
        <v/>
      </c>
      <c r="Q79" s="18">
        <f>IF($B79="","",IF((1-Parâmetros!$B$65)*(1-(Parâmetros!$B$61+N79+Parâmetros!$B$78))-O79&lt;=0,"ERRO",(1-Parâmetros!$B$65)*M79/((1-Parâmetros!$B$65)*(1-(Parâmetros!$B$61+N79+Parâmetros!$B$78))-O79)))</f>
        <v/>
      </c>
      <c r="R79" s="11">
        <f>IF($B79="","",IF(Parâmetros!$B$64=2,P79,Q79))</f>
        <v/>
      </c>
      <c r="S79" s="18">
        <f>IF($B79="","",IF(Parâmetros!$B$64=2,IF(1-(Parâmetros!$B$61+N79+Parâmetros!$B$78)-Parâmetros!$B$66&lt;=0,"ERRO",M79/(1-(Parâmetros!$B$61+N79+Parâmetros!$B$78)-Parâmetros!$B$66)),IF((1-Parâmetros!$B$65)*(1-(Parâmetros!$B$61+N79+Parâmetros!$B$78))&lt;=0,"ERRO",(1-Parâmetros!$B$65)*M79/((1-Parâmetros!$B$65)*(1-(Parâmetros!$B$61+N79+Parâmetros!$B$78))))))</f>
        <v/>
      </c>
      <c r="T79" s="18">
        <f>IF($B79="","",IF(ISNUMBER(R79),R79*Parâmetros!$B$61,""))</f>
        <v/>
      </c>
      <c r="U79" s="18">
        <f>IF($B79="","",IF(ISNUMBER(R79),R79*N79,""))</f>
        <v/>
      </c>
      <c r="V79" s="18">
        <f>IF($B79="","",IF(ISNUMBER(R79),R79*Parâmetros!$B$78,""))</f>
        <v/>
      </c>
      <c r="W79" s="18">
        <f>IF($B79="","",IF(ISNUMBER(R79),IF(Parâmetros!$B$64=2,R79*Parâmetros!$B$66,Parâmetros!$B$65*(R79-M79-R79*(Parâmetros!$B$61+N79+Parâmetros!$B$78))),""))</f>
        <v/>
      </c>
      <c r="X79" s="11">
        <f>IF($B79="","",IF(ISNUMBER(R79),R79-M79-T79-U79-V79-W79,""))</f>
        <v/>
      </c>
      <c r="Y79" s="19">
        <f>IF($B79="","",IF(AND(ISNUMBER(R79),R79&gt;0),X79/R79,""))</f>
        <v/>
      </c>
      <c r="Z79" s="18">
        <f>IF($B79="","",IF(AND(ISNUMBER(R79),ISNUMBER(G79)),R79-G79,""))</f>
        <v/>
      </c>
      <c r="AA79" s="20">
        <f>IF($B79="","",IF(NOT(ISNUMBER(R79)),"Percentuais ≥ 100%",IF(N(D79)=0,"Sem tempo",IF(J79=0,"Sem materiais",""))))</f>
        <v/>
      </c>
    </row>
    <row r="80">
      <c r="A80" s="7" t="n"/>
      <c r="B80" s="7" t="n"/>
      <c r="C80" s="7" t="n"/>
      <c r="D80" s="7" t="n"/>
      <c r="E80" s="8" t="n"/>
      <c r="F80" s="8" t="n"/>
      <c r="G80" s="8" t="n"/>
      <c r="H80" s="13" t="n"/>
      <c r="I80" s="13" t="n"/>
      <c r="J80" s="18">
        <f>IF($B80="","",SUMIFS(Itens!$E$2:$E$158,Itens!$A$2:$A$158,$B80)+N(F80))</f>
        <v/>
      </c>
      <c r="K80" s="18">
        <f>IF($B80="","",N(D80)/60*Parâmetros!$B$57)</f>
        <v/>
      </c>
      <c r="L80" s="18">
        <f>IF($B80="","",N(D80)/60*Parâmetros!$B$60)</f>
        <v/>
      </c>
      <c r="M80" s="11">
        <f>IF($B80="","",J80+N(E80)+K80+L80)</f>
        <v/>
      </c>
      <c r="N80" s="19">
        <f>IF($B80="","",IF(H80="",Parâmetros!$B$62,H80))</f>
        <v/>
      </c>
      <c r="O80" s="19">
        <f>IF($B80="","",IF(I80="",Parâmetros!$B$63,I80))</f>
        <v/>
      </c>
      <c r="P80" s="18">
        <f>IF($B80="","",IF(1-(Parâmetros!$B$61+N80+Parâmetros!$B$78)-Parâmetros!$B$66-O80&lt;=0,"ERRO",M80/(1-(Parâmetros!$B$61+N80+Parâmetros!$B$78)-Parâmetros!$B$66-O80)))</f>
        <v/>
      </c>
      <c r="Q80" s="18">
        <f>IF($B80="","",IF((1-Parâmetros!$B$65)*(1-(Parâmetros!$B$61+N80+Parâmetros!$B$78))-O80&lt;=0,"ERRO",(1-Parâmetros!$B$65)*M80/((1-Parâmetros!$B$65)*(1-(Parâmetros!$B$61+N80+Parâmetros!$B$78))-O80)))</f>
        <v/>
      </c>
      <c r="R80" s="11">
        <f>IF($B80="","",IF(Parâmetros!$B$64=2,P80,Q80))</f>
        <v/>
      </c>
      <c r="S80" s="18">
        <f>IF($B80="","",IF(Parâmetros!$B$64=2,IF(1-(Parâmetros!$B$61+N80+Parâmetros!$B$78)-Parâmetros!$B$66&lt;=0,"ERRO",M80/(1-(Parâmetros!$B$61+N80+Parâmetros!$B$78)-Parâmetros!$B$66)),IF((1-Parâmetros!$B$65)*(1-(Parâmetros!$B$61+N80+Parâmetros!$B$78))&lt;=0,"ERRO",(1-Parâmetros!$B$65)*M80/((1-Parâmetros!$B$65)*(1-(Parâmetros!$B$61+N80+Parâmetros!$B$78))))))</f>
        <v/>
      </c>
      <c r="T80" s="18">
        <f>IF($B80="","",IF(ISNUMBER(R80),R80*Parâmetros!$B$61,""))</f>
        <v/>
      </c>
      <c r="U80" s="18">
        <f>IF($B80="","",IF(ISNUMBER(R80),R80*N80,""))</f>
        <v/>
      </c>
      <c r="V80" s="18">
        <f>IF($B80="","",IF(ISNUMBER(R80),R80*Parâmetros!$B$78,""))</f>
        <v/>
      </c>
      <c r="W80" s="18">
        <f>IF($B80="","",IF(ISNUMBER(R80),IF(Parâmetros!$B$64=2,R80*Parâmetros!$B$66,Parâmetros!$B$65*(R80-M80-R80*(Parâmetros!$B$61+N80+Parâmetros!$B$78))),""))</f>
        <v/>
      </c>
      <c r="X80" s="11">
        <f>IF($B80="","",IF(ISNUMBER(R80),R80-M80-T80-U80-V80-W80,""))</f>
        <v/>
      </c>
      <c r="Y80" s="19">
        <f>IF($B80="","",IF(AND(ISNUMBER(R80),R80&gt;0),X80/R80,""))</f>
        <v/>
      </c>
      <c r="Z80" s="18">
        <f>IF($B80="","",IF(AND(ISNUMBER(R80),ISNUMBER(G80)),R80-G80,""))</f>
        <v/>
      </c>
      <c r="AA80" s="20">
        <f>IF($B80="","",IF(NOT(ISNUMBER(R80)),"Percentuais ≥ 100%",IF(N(D80)=0,"Sem tempo",IF(J80=0,"Sem materiais",""))))</f>
        <v/>
      </c>
    </row>
    <row r="81">
      <c r="A81" s="7" t="n"/>
      <c r="B81" s="7" t="n"/>
      <c r="C81" s="7" t="n"/>
      <c r="D81" s="7" t="n"/>
      <c r="E81" s="8" t="n"/>
      <c r="F81" s="8" t="n"/>
      <c r="G81" s="8" t="n"/>
      <c r="H81" s="13" t="n"/>
      <c r="I81" s="13" t="n"/>
      <c r="J81" s="18">
        <f>IF($B81="","",SUMIFS(Itens!$E$2:$E$158,Itens!$A$2:$A$158,$B81)+N(F81))</f>
        <v/>
      </c>
      <c r="K81" s="18">
        <f>IF($B81="","",N(D81)/60*Parâmetros!$B$57)</f>
        <v/>
      </c>
      <c r="L81" s="18">
        <f>IF($B81="","",N(D81)/60*Parâmetros!$B$60)</f>
        <v/>
      </c>
      <c r="M81" s="11">
        <f>IF($B81="","",J81+N(E81)+K81+L81)</f>
        <v/>
      </c>
      <c r="N81" s="19">
        <f>IF($B81="","",IF(H81="",Parâmetros!$B$62,H81))</f>
        <v/>
      </c>
      <c r="O81" s="19">
        <f>IF($B81="","",IF(I81="",Parâmetros!$B$63,I81))</f>
        <v/>
      </c>
      <c r="P81" s="18">
        <f>IF($B81="","",IF(1-(Parâmetros!$B$61+N81+Parâmetros!$B$78)-Parâmetros!$B$66-O81&lt;=0,"ERRO",M81/(1-(Parâmetros!$B$61+N81+Parâmetros!$B$78)-Parâmetros!$B$66-O81)))</f>
        <v/>
      </c>
      <c r="Q81" s="18">
        <f>IF($B81="","",IF((1-Parâmetros!$B$65)*(1-(Parâmetros!$B$61+N81+Parâmetros!$B$78))-O81&lt;=0,"ERRO",(1-Parâmetros!$B$65)*M81/((1-Parâmetros!$B$65)*(1-(Parâmetros!$B$61+N81+Parâmetros!$B$78))-O81)))</f>
        <v/>
      </c>
      <c r="R81" s="11">
        <f>IF($B81="","",IF(Parâmetros!$B$64=2,P81,Q81))</f>
        <v/>
      </c>
      <c r="S81" s="18">
        <f>IF($B81="","",IF(Parâmetros!$B$64=2,IF(1-(Parâmetros!$B$61+N81+Parâmetros!$B$78)-Parâmetros!$B$66&lt;=0,"ERRO",M81/(1-(Parâmetros!$B$61+N81+Parâmetros!$B$78)-Parâmetros!$B$66)),IF((1-Parâmetros!$B$65)*(1-(Parâmetros!$B$61+N81+Parâmetros!$B$78))&lt;=0,"ERRO",(1-Parâmetros!$B$65)*M81/((1-Parâmetros!$B$65)*(1-(Parâmetros!$B$61+N81+Parâmetros!$B$78))))))</f>
        <v/>
      </c>
      <c r="T81" s="18">
        <f>IF($B81="","",IF(ISNUMBER(R81),R81*Parâmetros!$B$61,""))</f>
        <v/>
      </c>
      <c r="U81" s="18">
        <f>IF($B81="","",IF(ISNUMBER(R81),R81*N81,""))</f>
        <v/>
      </c>
      <c r="V81" s="18">
        <f>IF($B81="","",IF(ISNUMBER(R81),R81*Parâmetros!$B$78,""))</f>
        <v/>
      </c>
      <c r="W81" s="18">
        <f>IF($B81="","",IF(ISNUMBER(R81),IF(Parâmetros!$B$64=2,R81*Parâmetros!$B$66,Parâmetros!$B$65*(R81-M81-R81*(Parâmetros!$B$61+N81+Parâmetros!$B$78))),""))</f>
        <v/>
      </c>
      <c r="X81" s="11">
        <f>IF($B81="","",IF(ISNUMBER(R81),R81-M81-T81-U81-V81-W81,""))</f>
        <v/>
      </c>
      <c r="Y81" s="19">
        <f>IF($B81="","",IF(AND(ISNUMBER(R81),R81&gt;0),X81/R81,""))</f>
        <v/>
      </c>
      <c r="Z81" s="18">
        <f>IF($B81="","",IF(AND(ISNUMBER(R81),ISNUMBER(G81)),R81-G81,""))</f>
        <v/>
      </c>
      <c r="AA81" s="20">
        <f>IF($B81="","",IF(NOT(ISNUMBER(R81)),"Percentuais ≥ 100%",IF(N(D81)=0,"Sem tempo",IF(J81=0,"Sem materiais",""))))</f>
        <v/>
      </c>
    </row>
    <row r="82">
      <c r="A82" s="7" t="n"/>
      <c r="B82" s="7" t="n"/>
      <c r="C82" s="7" t="n"/>
      <c r="D82" s="7" t="n"/>
      <c r="E82" s="8" t="n"/>
      <c r="F82" s="8" t="n"/>
      <c r="G82" s="8" t="n"/>
      <c r="H82" s="13" t="n"/>
      <c r="I82" s="13" t="n"/>
      <c r="J82" s="18">
        <f>IF($B82="","",SUMIFS(Itens!$E$2:$E$158,Itens!$A$2:$A$158,$B82)+N(F82))</f>
        <v/>
      </c>
      <c r="K82" s="18">
        <f>IF($B82="","",N(D82)/60*Parâmetros!$B$57)</f>
        <v/>
      </c>
      <c r="L82" s="18">
        <f>IF($B82="","",N(D82)/60*Parâmetros!$B$60)</f>
        <v/>
      </c>
      <c r="M82" s="11">
        <f>IF($B82="","",J82+N(E82)+K82+L82)</f>
        <v/>
      </c>
      <c r="N82" s="19">
        <f>IF($B82="","",IF(H82="",Parâmetros!$B$62,H82))</f>
        <v/>
      </c>
      <c r="O82" s="19">
        <f>IF($B82="","",IF(I82="",Parâmetros!$B$63,I82))</f>
        <v/>
      </c>
      <c r="P82" s="18">
        <f>IF($B82="","",IF(1-(Parâmetros!$B$61+N82+Parâmetros!$B$78)-Parâmetros!$B$66-O82&lt;=0,"ERRO",M82/(1-(Parâmetros!$B$61+N82+Parâmetros!$B$78)-Parâmetros!$B$66-O82)))</f>
        <v/>
      </c>
      <c r="Q82" s="18">
        <f>IF($B82="","",IF((1-Parâmetros!$B$65)*(1-(Parâmetros!$B$61+N82+Parâmetros!$B$78))-O82&lt;=0,"ERRO",(1-Parâmetros!$B$65)*M82/((1-Parâmetros!$B$65)*(1-(Parâmetros!$B$61+N82+Parâmetros!$B$78))-O82)))</f>
        <v/>
      </c>
      <c r="R82" s="11">
        <f>IF($B82="","",IF(Parâmetros!$B$64=2,P82,Q82))</f>
        <v/>
      </c>
      <c r="S82" s="18">
        <f>IF($B82="","",IF(Parâmetros!$B$64=2,IF(1-(Parâmetros!$B$61+N82+Parâmetros!$B$78)-Parâmetros!$B$66&lt;=0,"ERRO",M82/(1-(Parâmetros!$B$61+N82+Parâmetros!$B$78)-Parâmetros!$B$66)),IF((1-Parâmetros!$B$65)*(1-(Parâmetros!$B$61+N82+Parâmetros!$B$78))&lt;=0,"ERRO",(1-Parâmetros!$B$65)*M82/((1-Parâmetros!$B$65)*(1-(Parâmetros!$B$61+N82+Parâmetros!$B$78))))))</f>
        <v/>
      </c>
      <c r="T82" s="18">
        <f>IF($B82="","",IF(ISNUMBER(R82),R82*Parâmetros!$B$61,""))</f>
        <v/>
      </c>
      <c r="U82" s="18">
        <f>IF($B82="","",IF(ISNUMBER(R82),R82*N82,""))</f>
        <v/>
      </c>
      <c r="V82" s="18">
        <f>IF($B82="","",IF(ISNUMBER(R82),R82*Parâmetros!$B$78,""))</f>
        <v/>
      </c>
      <c r="W82" s="18">
        <f>IF($B82="","",IF(ISNUMBER(R82),IF(Parâmetros!$B$64=2,R82*Parâmetros!$B$66,Parâmetros!$B$65*(R82-M82-R82*(Parâmetros!$B$61+N82+Parâmetros!$B$78))),""))</f>
        <v/>
      </c>
      <c r="X82" s="11">
        <f>IF($B82="","",IF(ISNUMBER(R82),R82-M82-T82-U82-V82-W82,""))</f>
        <v/>
      </c>
      <c r="Y82" s="19">
        <f>IF($B82="","",IF(AND(ISNUMBER(R82),R82&gt;0),X82/R82,""))</f>
        <v/>
      </c>
      <c r="Z82" s="18">
        <f>IF($B82="","",IF(AND(ISNUMBER(R82),ISNUMBER(G82)),R82-G82,""))</f>
        <v/>
      </c>
      <c r="AA82" s="20">
        <f>IF($B82="","",IF(NOT(ISNUMBER(R82)),"Percentuais ≥ 100%",IF(N(D82)=0,"Sem tempo",IF(J82=0,"Sem materiais",""))))</f>
        <v/>
      </c>
    </row>
    <row r="83">
      <c r="A83" s="7" t="n"/>
      <c r="B83" s="7" t="n"/>
      <c r="C83" s="7" t="n"/>
      <c r="D83" s="7" t="n"/>
      <c r="E83" s="8" t="n"/>
      <c r="F83" s="8" t="n"/>
      <c r="G83" s="8" t="n"/>
      <c r="H83" s="13" t="n"/>
      <c r="I83" s="13" t="n"/>
      <c r="J83" s="18">
        <f>IF($B83="","",SUMIFS(Itens!$E$2:$E$158,Itens!$A$2:$A$158,$B83)+N(F83))</f>
        <v/>
      </c>
      <c r="K83" s="18">
        <f>IF($B83="","",N(D83)/60*Parâmetros!$B$57)</f>
        <v/>
      </c>
      <c r="L83" s="18">
        <f>IF($B83="","",N(D83)/60*Parâmetros!$B$60)</f>
        <v/>
      </c>
      <c r="M83" s="11">
        <f>IF($B83="","",J83+N(E83)+K83+L83)</f>
        <v/>
      </c>
      <c r="N83" s="19">
        <f>IF($B83="","",IF(H83="",Parâmetros!$B$62,H83))</f>
        <v/>
      </c>
      <c r="O83" s="19">
        <f>IF($B83="","",IF(I83="",Parâmetros!$B$63,I83))</f>
        <v/>
      </c>
      <c r="P83" s="18">
        <f>IF($B83="","",IF(1-(Parâmetros!$B$61+N83+Parâmetros!$B$78)-Parâmetros!$B$66-O83&lt;=0,"ERRO",M83/(1-(Parâmetros!$B$61+N83+Parâmetros!$B$78)-Parâmetros!$B$66-O83)))</f>
        <v/>
      </c>
      <c r="Q83" s="18">
        <f>IF($B83="","",IF((1-Parâmetros!$B$65)*(1-(Parâmetros!$B$61+N83+Parâmetros!$B$78))-O83&lt;=0,"ERRO",(1-Parâmetros!$B$65)*M83/((1-Parâmetros!$B$65)*(1-(Parâmetros!$B$61+N83+Parâmetros!$B$78))-O83)))</f>
        <v/>
      </c>
      <c r="R83" s="11">
        <f>IF($B83="","",IF(Parâmetros!$B$64=2,P83,Q83))</f>
        <v/>
      </c>
      <c r="S83" s="18">
        <f>IF($B83="","",IF(Parâmetros!$B$64=2,IF(1-(Parâmetros!$B$61+N83+Parâmetros!$B$78)-Parâmetros!$B$66&lt;=0,"ERRO",M83/(1-(Parâmetros!$B$61+N83+Parâmetros!$B$78)-Parâmetros!$B$66)),IF((1-Parâmetros!$B$65)*(1-(Parâmetros!$B$61+N83+Parâmetros!$B$78))&lt;=0,"ERRO",(1-Parâmetros!$B$65)*M83/((1-Parâmetros!$B$65)*(1-(Parâmetros!$B$61+N83+Parâmetros!$B$78))))))</f>
        <v/>
      </c>
      <c r="T83" s="18">
        <f>IF($B83="","",IF(ISNUMBER(R83),R83*Parâmetros!$B$61,""))</f>
        <v/>
      </c>
      <c r="U83" s="18">
        <f>IF($B83="","",IF(ISNUMBER(R83),R83*N83,""))</f>
        <v/>
      </c>
      <c r="V83" s="18">
        <f>IF($B83="","",IF(ISNUMBER(R83),R83*Parâmetros!$B$78,""))</f>
        <v/>
      </c>
      <c r="W83" s="18">
        <f>IF($B83="","",IF(ISNUMBER(R83),IF(Parâmetros!$B$64=2,R83*Parâmetros!$B$66,Parâmetros!$B$65*(R83-M83-R83*(Parâmetros!$B$61+N83+Parâmetros!$B$78))),""))</f>
        <v/>
      </c>
      <c r="X83" s="11">
        <f>IF($B83="","",IF(ISNUMBER(R83),R83-M83-T83-U83-V83-W83,""))</f>
        <v/>
      </c>
      <c r="Y83" s="19">
        <f>IF($B83="","",IF(AND(ISNUMBER(R83),R83&gt;0),X83/R83,""))</f>
        <v/>
      </c>
      <c r="Z83" s="18">
        <f>IF($B83="","",IF(AND(ISNUMBER(R83),ISNUMBER(G83)),R83-G83,""))</f>
        <v/>
      </c>
      <c r="AA83" s="20">
        <f>IF($B83="","",IF(NOT(ISNUMBER(R83)),"Percentuais ≥ 100%",IF(N(D83)=0,"Sem tempo",IF(J83=0,"Sem materiais",""))))</f>
        <v/>
      </c>
    </row>
    <row r="84">
      <c r="A84" s="7" t="n"/>
      <c r="B84" s="7" t="n"/>
      <c r="C84" s="7" t="n"/>
      <c r="D84" s="7" t="n"/>
      <c r="E84" s="8" t="n"/>
      <c r="F84" s="8" t="n"/>
      <c r="G84" s="8" t="n"/>
      <c r="H84" s="13" t="n"/>
      <c r="I84" s="13" t="n"/>
      <c r="J84" s="18">
        <f>IF($B84="","",SUMIFS(Itens!$E$2:$E$158,Itens!$A$2:$A$158,$B84)+N(F84))</f>
        <v/>
      </c>
      <c r="K84" s="18">
        <f>IF($B84="","",N(D84)/60*Parâmetros!$B$57)</f>
        <v/>
      </c>
      <c r="L84" s="18">
        <f>IF($B84="","",N(D84)/60*Parâmetros!$B$60)</f>
        <v/>
      </c>
      <c r="M84" s="11">
        <f>IF($B84="","",J84+N(E84)+K84+L84)</f>
        <v/>
      </c>
      <c r="N84" s="19">
        <f>IF($B84="","",IF(H84="",Parâmetros!$B$62,H84))</f>
        <v/>
      </c>
      <c r="O84" s="19">
        <f>IF($B84="","",IF(I84="",Parâmetros!$B$63,I84))</f>
        <v/>
      </c>
      <c r="P84" s="18">
        <f>IF($B84="","",IF(1-(Parâmetros!$B$61+N84+Parâmetros!$B$78)-Parâmetros!$B$66-O84&lt;=0,"ERRO",M84/(1-(Parâmetros!$B$61+N84+Parâmetros!$B$78)-Parâmetros!$B$66-O84)))</f>
        <v/>
      </c>
      <c r="Q84" s="18">
        <f>IF($B84="","",IF((1-Parâmetros!$B$65)*(1-(Parâmetros!$B$61+N84+Parâmetros!$B$78))-O84&lt;=0,"ERRO",(1-Parâmetros!$B$65)*M84/((1-Parâmetros!$B$65)*(1-(Parâmetros!$B$61+N84+Parâmetros!$B$78))-O84)))</f>
        <v/>
      </c>
      <c r="R84" s="11">
        <f>IF($B84="","",IF(Parâmetros!$B$64=2,P84,Q84))</f>
        <v/>
      </c>
      <c r="S84" s="18">
        <f>IF($B84="","",IF(Parâmetros!$B$64=2,IF(1-(Parâmetros!$B$61+N84+Parâmetros!$B$78)-Parâmetros!$B$66&lt;=0,"ERRO",M84/(1-(Parâmetros!$B$61+N84+Parâmetros!$B$78)-Parâmetros!$B$66)),IF((1-Parâmetros!$B$65)*(1-(Parâmetros!$B$61+N84+Parâmetros!$B$78))&lt;=0,"ERRO",(1-Parâmetros!$B$65)*M84/((1-Parâmetros!$B$65)*(1-(Parâmetros!$B$61+N84+Parâmetros!$B$78))))))</f>
        <v/>
      </c>
      <c r="T84" s="18">
        <f>IF($B84="","",IF(ISNUMBER(R84),R84*Parâmetros!$B$61,""))</f>
        <v/>
      </c>
      <c r="U84" s="18">
        <f>IF($B84="","",IF(ISNUMBER(R84),R84*N84,""))</f>
        <v/>
      </c>
      <c r="V84" s="18">
        <f>IF($B84="","",IF(ISNUMBER(R84),R84*Parâmetros!$B$78,""))</f>
        <v/>
      </c>
      <c r="W84" s="18">
        <f>IF($B84="","",IF(ISNUMBER(R84),IF(Parâmetros!$B$64=2,R84*Parâmetros!$B$66,Parâmetros!$B$65*(R84-M84-R84*(Parâmetros!$B$61+N84+Parâmetros!$B$78))),""))</f>
        <v/>
      </c>
      <c r="X84" s="11">
        <f>IF($B84="","",IF(ISNUMBER(R84),R84-M84-T84-U84-V84-W84,""))</f>
        <v/>
      </c>
      <c r="Y84" s="19">
        <f>IF($B84="","",IF(AND(ISNUMBER(R84),R84&gt;0),X84/R84,""))</f>
        <v/>
      </c>
      <c r="Z84" s="18">
        <f>IF($B84="","",IF(AND(ISNUMBER(R84),ISNUMBER(G84)),R84-G84,""))</f>
        <v/>
      </c>
      <c r="AA84" s="20">
        <f>IF($B84="","",IF(NOT(ISNUMBER(R84)),"Percentuais ≥ 100%",IF(N(D84)=0,"Sem tempo",IF(J84=0,"Sem materiais",""))))</f>
        <v/>
      </c>
    </row>
    <row r="85">
      <c r="A85" s="7" t="n"/>
      <c r="B85" s="7" t="n"/>
      <c r="C85" s="7" t="n"/>
      <c r="D85" s="7" t="n"/>
      <c r="E85" s="8" t="n"/>
      <c r="F85" s="8" t="n"/>
      <c r="G85" s="8" t="n"/>
      <c r="H85" s="13" t="n"/>
      <c r="I85" s="13" t="n"/>
      <c r="J85" s="18">
        <f>IF($B85="","",SUMIFS(Itens!$E$2:$E$158,Itens!$A$2:$A$158,$B85)+N(F85))</f>
        <v/>
      </c>
      <c r="K85" s="18">
        <f>IF($B85="","",N(D85)/60*Parâmetros!$B$57)</f>
        <v/>
      </c>
      <c r="L85" s="18">
        <f>IF($B85="","",N(D85)/60*Parâmetros!$B$60)</f>
        <v/>
      </c>
      <c r="M85" s="11">
        <f>IF($B85="","",J85+N(E85)+K85+L85)</f>
        <v/>
      </c>
      <c r="N85" s="19">
        <f>IF($B85="","",IF(H85="",Parâmetros!$B$62,H85))</f>
        <v/>
      </c>
      <c r="O85" s="19">
        <f>IF($B85="","",IF(I85="",Parâmetros!$B$63,I85))</f>
        <v/>
      </c>
      <c r="P85" s="18">
        <f>IF($B85="","",IF(1-(Parâmetros!$B$61+N85+Parâmetros!$B$78)-Parâmetros!$B$66-O85&lt;=0,"ERRO",M85/(1-(Parâmetros!$B$61+N85+Parâmetros!$B$78)-Parâmetros!$B$66-O85)))</f>
        <v/>
      </c>
      <c r="Q85" s="18">
        <f>IF($B85="","",IF((1-Parâmetros!$B$65)*(1-(Parâmetros!$B$61+N85+Parâmetros!$B$78))-O85&lt;=0,"ERRO",(1-Parâmetros!$B$65)*M85/((1-Parâmetros!$B$65)*(1-(Parâmetros!$B$61+N85+Parâmetros!$B$78))-O85)))</f>
        <v/>
      </c>
      <c r="R85" s="11">
        <f>IF($B85="","",IF(Parâmetros!$B$64=2,P85,Q85))</f>
        <v/>
      </c>
      <c r="S85" s="18">
        <f>IF($B85="","",IF(Parâmetros!$B$64=2,IF(1-(Parâmetros!$B$61+N85+Parâmetros!$B$78)-Parâmetros!$B$66&lt;=0,"ERRO",M85/(1-(Parâmetros!$B$61+N85+Parâmetros!$B$78)-Parâmetros!$B$66)),IF((1-Parâmetros!$B$65)*(1-(Parâmetros!$B$61+N85+Parâmetros!$B$78))&lt;=0,"ERRO",(1-Parâmetros!$B$65)*M85/((1-Parâmetros!$B$65)*(1-(Parâmetros!$B$61+N85+Parâmetros!$B$78))))))</f>
        <v/>
      </c>
      <c r="T85" s="18">
        <f>IF($B85="","",IF(ISNUMBER(R85),R85*Parâmetros!$B$61,""))</f>
        <v/>
      </c>
      <c r="U85" s="18">
        <f>IF($B85="","",IF(ISNUMBER(R85),R85*N85,""))</f>
        <v/>
      </c>
      <c r="V85" s="18">
        <f>IF($B85="","",IF(ISNUMBER(R85),R85*Parâmetros!$B$78,""))</f>
        <v/>
      </c>
      <c r="W85" s="18">
        <f>IF($B85="","",IF(ISNUMBER(R85),IF(Parâmetros!$B$64=2,R85*Parâmetros!$B$66,Parâmetros!$B$65*(R85-M85-R85*(Parâmetros!$B$61+N85+Parâmetros!$B$78))),""))</f>
        <v/>
      </c>
      <c r="X85" s="11">
        <f>IF($B85="","",IF(ISNUMBER(R85),R85-M85-T85-U85-V85-W85,""))</f>
        <v/>
      </c>
      <c r="Y85" s="19">
        <f>IF($B85="","",IF(AND(ISNUMBER(R85),R85&gt;0),X85/R85,""))</f>
        <v/>
      </c>
      <c r="Z85" s="18">
        <f>IF($B85="","",IF(AND(ISNUMBER(R85),ISNUMBER(G85)),R85-G85,""))</f>
        <v/>
      </c>
      <c r="AA85" s="20">
        <f>IF($B85="","",IF(NOT(ISNUMBER(R85)),"Percentuais ≥ 100%",IF(N(D85)=0,"Sem tempo",IF(J85=0,"Sem materiais",""))))</f>
        <v/>
      </c>
    </row>
    <row r="86">
      <c r="A86" s="7" t="n"/>
      <c r="B86" s="7" t="n"/>
      <c r="C86" s="7" t="n"/>
      <c r="D86" s="7" t="n"/>
      <c r="E86" s="8" t="n"/>
      <c r="F86" s="8" t="n"/>
      <c r="G86" s="8" t="n"/>
      <c r="H86" s="13" t="n"/>
      <c r="I86" s="13" t="n"/>
      <c r="J86" s="18">
        <f>IF($B86="","",SUMIFS(Itens!$E$2:$E$158,Itens!$A$2:$A$158,$B86)+N(F86))</f>
        <v/>
      </c>
      <c r="K86" s="18">
        <f>IF($B86="","",N(D86)/60*Parâmetros!$B$57)</f>
        <v/>
      </c>
      <c r="L86" s="18">
        <f>IF($B86="","",N(D86)/60*Parâmetros!$B$60)</f>
        <v/>
      </c>
      <c r="M86" s="11">
        <f>IF($B86="","",J86+N(E86)+K86+L86)</f>
        <v/>
      </c>
      <c r="N86" s="19">
        <f>IF($B86="","",IF(H86="",Parâmetros!$B$62,H86))</f>
        <v/>
      </c>
      <c r="O86" s="19">
        <f>IF($B86="","",IF(I86="",Parâmetros!$B$63,I86))</f>
        <v/>
      </c>
      <c r="P86" s="18">
        <f>IF($B86="","",IF(1-(Parâmetros!$B$61+N86+Parâmetros!$B$78)-Parâmetros!$B$66-O86&lt;=0,"ERRO",M86/(1-(Parâmetros!$B$61+N86+Parâmetros!$B$78)-Parâmetros!$B$66-O86)))</f>
        <v/>
      </c>
      <c r="Q86" s="18">
        <f>IF($B86="","",IF((1-Parâmetros!$B$65)*(1-(Parâmetros!$B$61+N86+Parâmetros!$B$78))-O86&lt;=0,"ERRO",(1-Parâmetros!$B$65)*M86/((1-Parâmetros!$B$65)*(1-(Parâmetros!$B$61+N86+Parâmetros!$B$78))-O86)))</f>
        <v/>
      </c>
      <c r="R86" s="11">
        <f>IF($B86="","",IF(Parâmetros!$B$64=2,P86,Q86))</f>
        <v/>
      </c>
      <c r="S86" s="18">
        <f>IF($B86="","",IF(Parâmetros!$B$64=2,IF(1-(Parâmetros!$B$61+N86+Parâmetros!$B$78)-Parâmetros!$B$66&lt;=0,"ERRO",M86/(1-(Parâmetros!$B$61+N86+Parâmetros!$B$78)-Parâmetros!$B$66)),IF((1-Parâmetros!$B$65)*(1-(Parâmetros!$B$61+N86+Parâmetros!$B$78))&lt;=0,"ERRO",(1-Parâmetros!$B$65)*M86/((1-Parâmetros!$B$65)*(1-(Parâmetros!$B$61+N86+Parâmetros!$B$78))))))</f>
        <v/>
      </c>
      <c r="T86" s="18">
        <f>IF($B86="","",IF(ISNUMBER(R86),R86*Parâmetros!$B$61,""))</f>
        <v/>
      </c>
      <c r="U86" s="18">
        <f>IF($B86="","",IF(ISNUMBER(R86),R86*N86,""))</f>
        <v/>
      </c>
      <c r="V86" s="18">
        <f>IF($B86="","",IF(ISNUMBER(R86),R86*Parâmetros!$B$78,""))</f>
        <v/>
      </c>
      <c r="W86" s="18">
        <f>IF($B86="","",IF(ISNUMBER(R86),IF(Parâmetros!$B$64=2,R86*Parâmetros!$B$66,Parâmetros!$B$65*(R86-M86-R86*(Parâmetros!$B$61+N86+Parâmetros!$B$78))),""))</f>
        <v/>
      </c>
      <c r="X86" s="11">
        <f>IF($B86="","",IF(ISNUMBER(R86),R86-M86-T86-U86-V86-W86,""))</f>
        <v/>
      </c>
      <c r="Y86" s="19">
        <f>IF($B86="","",IF(AND(ISNUMBER(R86),R86&gt;0),X86/R86,""))</f>
        <v/>
      </c>
      <c r="Z86" s="18">
        <f>IF($B86="","",IF(AND(ISNUMBER(R86),ISNUMBER(G86)),R86-G86,""))</f>
        <v/>
      </c>
      <c r="AA86" s="20">
        <f>IF($B86="","",IF(NOT(ISNUMBER(R86)),"Percentuais ≥ 100%",IF(N(D86)=0,"Sem tempo",IF(J86=0,"Sem materiais",""))))</f>
        <v/>
      </c>
    </row>
    <row r="87">
      <c r="A87" s="7" t="n"/>
      <c r="B87" s="7" t="n"/>
      <c r="C87" s="7" t="n"/>
      <c r="D87" s="7" t="n"/>
      <c r="E87" s="8" t="n"/>
      <c r="F87" s="8" t="n"/>
      <c r="G87" s="8" t="n"/>
      <c r="H87" s="13" t="n"/>
      <c r="I87" s="13" t="n"/>
      <c r="J87" s="18">
        <f>IF($B87="","",SUMIFS(Itens!$E$2:$E$158,Itens!$A$2:$A$158,$B87)+N(F87))</f>
        <v/>
      </c>
      <c r="K87" s="18">
        <f>IF($B87="","",N(D87)/60*Parâmetros!$B$57)</f>
        <v/>
      </c>
      <c r="L87" s="18">
        <f>IF($B87="","",N(D87)/60*Parâmetros!$B$60)</f>
        <v/>
      </c>
      <c r="M87" s="11">
        <f>IF($B87="","",J87+N(E87)+K87+L87)</f>
        <v/>
      </c>
      <c r="N87" s="19">
        <f>IF($B87="","",IF(H87="",Parâmetros!$B$62,H87))</f>
        <v/>
      </c>
      <c r="O87" s="19">
        <f>IF($B87="","",IF(I87="",Parâmetros!$B$63,I87))</f>
        <v/>
      </c>
      <c r="P87" s="18">
        <f>IF($B87="","",IF(1-(Parâmetros!$B$61+N87+Parâmetros!$B$78)-Parâmetros!$B$66-O87&lt;=0,"ERRO",M87/(1-(Parâmetros!$B$61+N87+Parâmetros!$B$78)-Parâmetros!$B$66-O87)))</f>
        <v/>
      </c>
      <c r="Q87" s="18">
        <f>IF($B87="","",IF((1-Parâmetros!$B$65)*(1-(Parâmetros!$B$61+N87+Parâmetros!$B$78))-O87&lt;=0,"ERRO",(1-Parâmetros!$B$65)*M87/((1-Parâmetros!$B$65)*(1-(Parâmetros!$B$61+N87+Parâmetros!$B$78))-O87)))</f>
        <v/>
      </c>
      <c r="R87" s="11">
        <f>IF($B87="","",IF(Parâmetros!$B$64=2,P87,Q87))</f>
        <v/>
      </c>
      <c r="S87" s="18">
        <f>IF($B87="","",IF(Parâmetros!$B$64=2,IF(1-(Parâmetros!$B$61+N87+Parâmetros!$B$78)-Parâmetros!$B$66&lt;=0,"ERRO",M87/(1-(Parâmetros!$B$61+N87+Parâmetros!$B$78)-Parâmetros!$B$66)),IF((1-Parâmetros!$B$65)*(1-(Parâmetros!$B$61+N87+Parâmetros!$B$78))&lt;=0,"ERRO",(1-Parâmetros!$B$65)*M87/((1-Parâmetros!$B$65)*(1-(Parâmetros!$B$61+N87+Parâmetros!$B$78))))))</f>
        <v/>
      </c>
      <c r="T87" s="18">
        <f>IF($B87="","",IF(ISNUMBER(R87),R87*Parâmetros!$B$61,""))</f>
        <v/>
      </c>
      <c r="U87" s="18">
        <f>IF($B87="","",IF(ISNUMBER(R87),R87*N87,""))</f>
        <v/>
      </c>
      <c r="V87" s="18">
        <f>IF($B87="","",IF(ISNUMBER(R87),R87*Parâmetros!$B$78,""))</f>
        <v/>
      </c>
      <c r="W87" s="18">
        <f>IF($B87="","",IF(ISNUMBER(R87),IF(Parâmetros!$B$64=2,R87*Parâmetros!$B$66,Parâmetros!$B$65*(R87-M87-R87*(Parâmetros!$B$61+N87+Parâmetros!$B$78))),""))</f>
        <v/>
      </c>
      <c r="X87" s="11">
        <f>IF($B87="","",IF(ISNUMBER(R87),R87-M87-T87-U87-V87-W87,""))</f>
        <v/>
      </c>
      <c r="Y87" s="19">
        <f>IF($B87="","",IF(AND(ISNUMBER(R87),R87&gt;0),X87/R87,""))</f>
        <v/>
      </c>
      <c r="Z87" s="18">
        <f>IF($B87="","",IF(AND(ISNUMBER(R87),ISNUMBER(G87)),R87-G87,""))</f>
        <v/>
      </c>
      <c r="AA87" s="20">
        <f>IF($B87="","",IF(NOT(ISNUMBER(R87)),"Percentuais ≥ 100%",IF(N(D87)=0,"Sem tempo",IF(J87=0,"Sem materiais",""))))</f>
        <v/>
      </c>
    </row>
    <row r="88">
      <c r="A88" s="7" t="n"/>
      <c r="B88" s="7" t="n"/>
      <c r="C88" s="7" t="n"/>
      <c r="D88" s="7" t="n"/>
      <c r="E88" s="8" t="n"/>
      <c r="F88" s="8" t="n"/>
      <c r="G88" s="8" t="n"/>
      <c r="H88" s="13" t="n"/>
      <c r="I88" s="13" t="n"/>
      <c r="J88" s="18">
        <f>IF($B88="","",SUMIFS(Itens!$E$2:$E$158,Itens!$A$2:$A$158,$B88)+N(F88))</f>
        <v/>
      </c>
      <c r="K88" s="18">
        <f>IF($B88="","",N(D88)/60*Parâmetros!$B$57)</f>
        <v/>
      </c>
      <c r="L88" s="18">
        <f>IF($B88="","",N(D88)/60*Parâmetros!$B$60)</f>
        <v/>
      </c>
      <c r="M88" s="11">
        <f>IF($B88="","",J88+N(E88)+K88+L88)</f>
        <v/>
      </c>
      <c r="N88" s="19">
        <f>IF($B88="","",IF(H88="",Parâmetros!$B$62,H88))</f>
        <v/>
      </c>
      <c r="O88" s="19">
        <f>IF($B88="","",IF(I88="",Parâmetros!$B$63,I88))</f>
        <v/>
      </c>
      <c r="P88" s="18">
        <f>IF($B88="","",IF(1-(Parâmetros!$B$61+N88+Parâmetros!$B$78)-Parâmetros!$B$66-O88&lt;=0,"ERRO",M88/(1-(Parâmetros!$B$61+N88+Parâmetros!$B$78)-Parâmetros!$B$66-O88)))</f>
        <v/>
      </c>
      <c r="Q88" s="18">
        <f>IF($B88="","",IF((1-Parâmetros!$B$65)*(1-(Parâmetros!$B$61+N88+Parâmetros!$B$78))-O88&lt;=0,"ERRO",(1-Parâmetros!$B$65)*M88/((1-Parâmetros!$B$65)*(1-(Parâmetros!$B$61+N88+Parâmetros!$B$78))-O88)))</f>
        <v/>
      </c>
      <c r="R88" s="11">
        <f>IF($B88="","",IF(Parâmetros!$B$64=2,P88,Q88))</f>
        <v/>
      </c>
      <c r="S88" s="18">
        <f>IF($B88="","",IF(Parâmetros!$B$64=2,IF(1-(Parâmetros!$B$61+N88+Parâmetros!$B$78)-Parâmetros!$B$66&lt;=0,"ERRO",M88/(1-(Parâmetros!$B$61+N88+Parâmetros!$B$78)-Parâmetros!$B$66)),IF((1-Parâmetros!$B$65)*(1-(Parâmetros!$B$61+N88+Parâmetros!$B$78))&lt;=0,"ERRO",(1-Parâmetros!$B$65)*M88/((1-Parâmetros!$B$65)*(1-(Parâmetros!$B$61+N88+Parâmetros!$B$78))))))</f>
        <v/>
      </c>
      <c r="T88" s="18">
        <f>IF($B88="","",IF(ISNUMBER(R88),R88*Parâmetros!$B$61,""))</f>
        <v/>
      </c>
      <c r="U88" s="18">
        <f>IF($B88="","",IF(ISNUMBER(R88),R88*N88,""))</f>
        <v/>
      </c>
      <c r="V88" s="18">
        <f>IF($B88="","",IF(ISNUMBER(R88),R88*Parâmetros!$B$78,""))</f>
        <v/>
      </c>
      <c r="W88" s="18">
        <f>IF($B88="","",IF(ISNUMBER(R88),IF(Parâmetros!$B$64=2,R88*Parâmetros!$B$66,Parâmetros!$B$65*(R88-M88-R88*(Parâmetros!$B$61+N88+Parâmetros!$B$78))),""))</f>
        <v/>
      </c>
      <c r="X88" s="11">
        <f>IF($B88="","",IF(ISNUMBER(R88),R88-M88-T88-U88-V88-W88,""))</f>
        <v/>
      </c>
      <c r="Y88" s="19">
        <f>IF($B88="","",IF(AND(ISNUMBER(R88),R88&gt;0),X88/R88,""))</f>
        <v/>
      </c>
      <c r="Z88" s="18">
        <f>IF($B88="","",IF(AND(ISNUMBER(R88),ISNUMBER(G88)),R88-G88,""))</f>
        <v/>
      </c>
      <c r="AA88" s="20">
        <f>IF($B88="","",IF(NOT(ISNUMBER(R88)),"Percentuais ≥ 100%",IF(N(D88)=0,"Sem tempo",IF(J88=0,"Sem materiais",""))))</f>
        <v/>
      </c>
    </row>
    <row r="89">
      <c r="A89" s="7" t="n"/>
      <c r="B89" s="7" t="n"/>
      <c r="C89" s="7" t="n"/>
      <c r="D89" s="7" t="n"/>
      <c r="E89" s="8" t="n"/>
      <c r="F89" s="8" t="n"/>
      <c r="G89" s="8" t="n"/>
      <c r="H89" s="13" t="n"/>
      <c r="I89" s="13" t="n"/>
      <c r="J89" s="18">
        <f>IF($B89="","",SUMIFS(Itens!$E$2:$E$158,Itens!$A$2:$A$158,$B89)+N(F89))</f>
        <v/>
      </c>
      <c r="K89" s="18">
        <f>IF($B89="","",N(D89)/60*Parâmetros!$B$57)</f>
        <v/>
      </c>
      <c r="L89" s="18">
        <f>IF($B89="","",N(D89)/60*Parâmetros!$B$60)</f>
        <v/>
      </c>
      <c r="M89" s="11">
        <f>IF($B89="","",J89+N(E89)+K89+L89)</f>
        <v/>
      </c>
      <c r="N89" s="19">
        <f>IF($B89="","",IF(H89="",Parâmetros!$B$62,H89))</f>
        <v/>
      </c>
      <c r="O89" s="19">
        <f>IF($B89="","",IF(I89="",Parâmetros!$B$63,I89))</f>
        <v/>
      </c>
      <c r="P89" s="18">
        <f>IF($B89="","",IF(1-(Parâmetros!$B$61+N89+Parâmetros!$B$78)-Parâmetros!$B$66-O89&lt;=0,"ERRO",M89/(1-(Parâmetros!$B$61+N89+Parâmetros!$B$78)-Parâmetros!$B$66-O89)))</f>
        <v/>
      </c>
      <c r="Q89" s="18">
        <f>IF($B89="","",IF((1-Parâmetros!$B$65)*(1-(Parâmetros!$B$61+N89+Parâmetros!$B$78))-O89&lt;=0,"ERRO",(1-Parâmetros!$B$65)*M89/((1-Parâmetros!$B$65)*(1-(Parâmetros!$B$61+N89+Parâmetros!$B$78))-O89)))</f>
        <v/>
      </c>
      <c r="R89" s="11">
        <f>IF($B89="","",IF(Parâmetros!$B$64=2,P89,Q89))</f>
        <v/>
      </c>
      <c r="S89" s="18">
        <f>IF($B89="","",IF(Parâmetros!$B$64=2,IF(1-(Parâmetros!$B$61+N89+Parâmetros!$B$78)-Parâmetros!$B$66&lt;=0,"ERRO",M89/(1-(Parâmetros!$B$61+N89+Parâmetros!$B$78)-Parâmetros!$B$66)),IF((1-Parâmetros!$B$65)*(1-(Parâmetros!$B$61+N89+Parâmetros!$B$78))&lt;=0,"ERRO",(1-Parâmetros!$B$65)*M89/((1-Parâmetros!$B$65)*(1-(Parâmetros!$B$61+N89+Parâmetros!$B$78))))))</f>
        <v/>
      </c>
      <c r="T89" s="18">
        <f>IF($B89="","",IF(ISNUMBER(R89),R89*Parâmetros!$B$61,""))</f>
        <v/>
      </c>
      <c r="U89" s="18">
        <f>IF($B89="","",IF(ISNUMBER(R89),R89*N89,""))</f>
        <v/>
      </c>
      <c r="V89" s="18">
        <f>IF($B89="","",IF(ISNUMBER(R89),R89*Parâmetros!$B$78,""))</f>
        <v/>
      </c>
      <c r="W89" s="18">
        <f>IF($B89="","",IF(ISNUMBER(R89),IF(Parâmetros!$B$64=2,R89*Parâmetros!$B$66,Parâmetros!$B$65*(R89-M89-R89*(Parâmetros!$B$61+N89+Parâmetros!$B$78))),""))</f>
        <v/>
      </c>
      <c r="X89" s="11">
        <f>IF($B89="","",IF(ISNUMBER(R89),R89-M89-T89-U89-V89-W89,""))</f>
        <v/>
      </c>
      <c r="Y89" s="19">
        <f>IF($B89="","",IF(AND(ISNUMBER(R89),R89&gt;0),X89/R89,""))</f>
        <v/>
      </c>
      <c r="Z89" s="18">
        <f>IF($B89="","",IF(AND(ISNUMBER(R89),ISNUMBER(G89)),R89-G89,""))</f>
        <v/>
      </c>
      <c r="AA89" s="20">
        <f>IF($B89="","",IF(NOT(ISNUMBER(R89)),"Percentuais ≥ 100%",IF(N(D89)=0,"Sem tempo",IF(J89=0,"Sem materiais",""))))</f>
        <v/>
      </c>
    </row>
    <row r="90">
      <c r="A90" s="7" t="n"/>
      <c r="B90" s="7" t="n"/>
      <c r="C90" s="7" t="n"/>
      <c r="D90" s="7" t="n"/>
      <c r="E90" s="8" t="n"/>
      <c r="F90" s="8" t="n"/>
      <c r="G90" s="8" t="n"/>
      <c r="H90" s="13" t="n"/>
      <c r="I90" s="13" t="n"/>
      <c r="J90" s="18">
        <f>IF($B90="","",SUMIFS(Itens!$E$2:$E$158,Itens!$A$2:$A$158,$B90)+N(F90))</f>
        <v/>
      </c>
      <c r="K90" s="18">
        <f>IF($B90="","",N(D90)/60*Parâmetros!$B$57)</f>
        <v/>
      </c>
      <c r="L90" s="18">
        <f>IF($B90="","",N(D90)/60*Parâmetros!$B$60)</f>
        <v/>
      </c>
      <c r="M90" s="11">
        <f>IF($B90="","",J90+N(E90)+K90+L90)</f>
        <v/>
      </c>
      <c r="N90" s="19">
        <f>IF($B90="","",IF(H90="",Parâmetros!$B$62,H90))</f>
        <v/>
      </c>
      <c r="O90" s="19">
        <f>IF($B90="","",IF(I90="",Parâmetros!$B$63,I90))</f>
        <v/>
      </c>
      <c r="P90" s="18">
        <f>IF($B90="","",IF(1-(Parâmetros!$B$61+N90+Parâmetros!$B$78)-Parâmetros!$B$66-O90&lt;=0,"ERRO",M90/(1-(Parâmetros!$B$61+N90+Parâmetros!$B$78)-Parâmetros!$B$66-O90)))</f>
        <v/>
      </c>
      <c r="Q90" s="18">
        <f>IF($B90="","",IF((1-Parâmetros!$B$65)*(1-(Parâmetros!$B$61+N90+Parâmetros!$B$78))-O90&lt;=0,"ERRO",(1-Parâmetros!$B$65)*M90/((1-Parâmetros!$B$65)*(1-(Parâmetros!$B$61+N90+Parâmetros!$B$78))-O90)))</f>
        <v/>
      </c>
      <c r="R90" s="11">
        <f>IF($B90="","",IF(Parâmetros!$B$64=2,P90,Q90))</f>
        <v/>
      </c>
      <c r="S90" s="18">
        <f>IF($B90="","",IF(Parâmetros!$B$64=2,IF(1-(Parâmetros!$B$61+N90+Parâmetros!$B$78)-Parâmetros!$B$66&lt;=0,"ERRO",M90/(1-(Parâmetros!$B$61+N90+Parâmetros!$B$78)-Parâmetros!$B$66)),IF((1-Parâmetros!$B$65)*(1-(Parâmetros!$B$61+N90+Parâmetros!$B$78))&lt;=0,"ERRO",(1-Parâmetros!$B$65)*M90/((1-Parâmetros!$B$65)*(1-(Parâmetros!$B$61+N90+Parâmetros!$B$78))))))</f>
        <v/>
      </c>
      <c r="T90" s="18">
        <f>IF($B90="","",IF(ISNUMBER(R90),R90*Parâmetros!$B$61,""))</f>
        <v/>
      </c>
      <c r="U90" s="18">
        <f>IF($B90="","",IF(ISNUMBER(R90),R90*N90,""))</f>
        <v/>
      </c>
      <c r="V90" s="18">
        <f>IF($B90="","",IF(ISNUMBER(R90),R90*Parâmetros!$B$78,""))</f>
        <v/>
      </c>
      <c r="W90" s="18">
        <f>IF($B90="","",IF(ISNUMBER(R90),IF(Parâmetros!$B$64=2,R90*Parâmetros!$B$66,Parâmetros!$B$65*(R90-M90-R90*(Parâmetros!$B$61+N90+Parâmetros!$B$78))),""))</f>
        <v/>
      </c>
      <c r="X90" s="11">
        <f>IF($B90="","",IF(ISNUMBER(R90),R90-M90-T90-U90-V90-W90,""))</f>
        <v/>
      </c>
      <c r="Y90" s="19">
        <f>IF($B90="","",IF(AND(ISNUMBER(R90),R90&gt;0),X90/R90,""))</f>
        <v/>
      </c>
      <c r="Z90" s="18">
        <f>IF($B90="","",IF(AND(ISNUMBER(R90),ISNUMBER(G90)),R90-G90,""))</f>
        <v/>
      </c>
      <c r="AA90" s="20">
        <f>IF($B90="","",IF(NOT(ISNUMBER(R90)),"Percentuais ≥ 100%",IF(N(D90)=0,"Sem tempo",IF(J90=0,"Sem materiais",""))))</f>
        <v/>
      </c>
    </row>
    <row r="91">
      <c r="A91" s="7" t="n"/>
      <c r="B91" s="7" t="n"/>
      <c r="C91" s="7" t="n"/>
      <c r="D91" s="7" t="n"/>
      <c r="E91" s="8" t="n"/>
      <c r="F91" s="8" t="n"/>
      <c r="G91" s="8" t="n"/>
      <c r="H91" s="13" t="n"/>
      <c r="I91" s="13" t="n"/>
      <c r="J91" s="18">
        <f>IF($B91="","",SUMIFS(Itens!$E$2:$E$158,Itens!$A$2:$A$158,$B91)+N(F91))</f>
        <v/>
      </c>
      <c r="K91" s="18">
        <f>IF($B91="","",N(D91)/60*Parâmetros!$B$57)</f>
        <v/>
      </c>
      <c r="L91" s="18">
        <f>IF($B91="","",N(D91)/60*Parâmetros!$B$60)</f>
        <v/>
      </c>
      <c r="M91" s="11">
        <f>IF($B91="","",J91+N(E91)+K91+L91)</f>
        <v/>
      </c>
      <c r="N91" s="19">
        <f>IF($B91="","",IF(H91="",Parâmetros!$B$62,H91))</f>
        <v/>
      </c>
      <c r="O91" s="19">
        <f>IF($B91="","",IF(I91="",Parâmetros!$B$63,I91))</f>
        <v/>
      </c>
      <c r="P91" s="18">
        <f>IF($B91="","",IF(1-(Parâmetros!$B$61+N91+Parâmetros!$B$78)-Parâmetros!$B$66-O91&lt;=0,"ERRO",M91/(1-(Parâmetros!$B$61+N91+Parâmetros!$B$78)-Parâmetros!$B$66-O91)))</f>
        <v/>
      </c>
      <c r="Q91" s="18">
        <f>IF($B91="","",IF((1-Parâmetros!$B$65)*(1-(Parâmetros!$B$61+N91+Parâmetros!$B$78))-O91&lt;=0,"ERRO",(1-Parâmetros!$B$65)*M91/((1-Parâmetros!$B$65)*(1-(Parâmetros!$B$61+N91+Parâmetros!$B$78))-O91)))</f>
        <v/>
      </c>
      <c r="R91" s="11">
        <f>IF($B91="","",IF(Parâmetros!$B$64=2,P91,Q91))</f>
        <v/>
      </c>
      <c r="S91" s="18">
        <f>IF($B91="","",IF(Parâmetros!$B$64=2,IF(1-(Parâmetros!$B$61+N91+Parâmetros!$B$78)-Parâmetros!$B$66&lt;=0,"ERRO",M91/(1-(Parâmetros!$B$61+N91+Parâmetros!$B$78)-Parâmetros!$B$66)),IF((1-Parâmetros!$B$65)*(1-(Parâmetros!$B$61+N91+Parâmetros!$B$78))&lt;=0,"ERRO",(1-Parâmetros!$B$65)*M91/((1-Parâmetros!$B$65)*(1-(Parâmetros!$B$61+N91+Parâmetros!$B$78))))))</f>
        <v/>
      </c>
      <c r="T91" s="18">
        <f>IF($B91="","",IF(ISNUMBER(R91),R91*Parâmetros!$B$61,""))</f>
        <v/>
      </c>
      <c r="U91" s="18">
        <f>IF($B91="","",IF(ISNUMBER(R91),R91*N91,""))</f>
        <v/>
      </c>
      <c r="V91" s="18">
        <f>IF($B91="","",IF(ISNUMBER(R91),R91*Parâmetros!$B$78,""))</f>
        <v/>
      </c>
      <c r="W91" s="18">
        <f>IF($B91="","",IF(ISNUMBER(R91),IF(Parâmetros!$B$64=2,R91*Parâmetros!$B$66,Parâmetros!$B$65*(R91-M91-R91*(Parâmetros!$B$61+N91+Parâmetros!$B$78))),""))</f>
        <v/>
      </c>
      <c r="X91" s="11">
        <f>IF($B91="","",IF(ISNUMBER(R91),R91-M91-T91-U91-V91-W91,""))</f>
        <v/>
      </c>
      <c r="Y91" s="19">
        <f>IF($B91="","",IF(AND(ISNUMBER(R91),R91&gt;0),X91/R91,""))</f>
        <v/>
      </c>
      <c r="Z91" s="18">
        <f>IF($B91="","",IF(AND(ISNUMBER(R91),ISNUMBER(G91)),R91-G91,""))</f>
        <v/>
      </c>
      <c r="AA91" s="20">
        <f>IF($B91="","",IF(NOT(ISNUMBER(R91)),"Percentuais ≥ 100%",IF(N(D91)=0,"Sem tempo",IF(J91=0,"Sem materiais",""))))</f>
        <v/>
      </c>
    </row>
    <row r="92">
      <c r="A92" s="7" t="n"/>
      <c r="B92" s="7" t="n"/>
      <c r="C92" s="7" t="n"/>
      <c r="D92" s="7" t="n"/>
      <c r="E92" s="8" t="n"/>
      <c r="F92" s="8" t="n"/>
      <c r="G92" s="8" t="n"/>
      <c r="H92" s="13" t="n"/>
      <c r="I92" s="13" t="n"/>
      <c r="J92" s="18">
        <f>IF($B92="","",SUMIFS(Itens!$E$2:$E$158,Itens!$A$2:$A$158,$B92)+N(F92))</f>
        <v/>
      </c>
      <c r="K92" s="18">
        <f>IF($B92="","",N(D92)/60*Parâmetros!$B$57)</f>
        <v/>
      </c>
      <c r="L92" s="18">
        <f>IF($B92="","",N(D92)/60*Parâmetros!$B$60)</f>
        <v/>
      </c>
      <c r="M92" s="11">
        <f>IF($B92="","",J92+N(E92)+K92+L92)</f>
        <v/>
      </c>
      <c r="N92" s="19">
        <f>IF($B92="","",IF(H92="",Parâmetros!$B$62,H92))</f>
        <v/>
      </c>
      <c r="O92" s="19">
        <f>IF($B92="","",IF(I92="",Parâmetros!$B$63,I92))</f>
        <v/>
      </c>
      <c r="P92" s="18">
        <f>IF($B92="","",IF(1-(Parâmetros!$B$61+N92+Parâmetros!$B$78)-Parâmetros!$B$66-O92&lt;=0,"ERRO",M92/(1-(Parâmetros!$B$61+N92+Parâmetros!$B$78)-Parâmetros!$B$66-O92)))</f>
        <v/>
      </c>
      <c r="Q92" s="18">
        <f>IF($B92="","",IF((1-Parâmetros!$B$65)*(1-(Parâmetros!$B$61+N92+Parâmetros!$B$78))-O92&lt;=0,"ERRO",(1-Parâmetros!$B$65)*M92/((1-Parâmetros!$B$65)*(1-(Parâmetros!$B$61+N92+Parâmetros!$B$78))-O92)))</f>
        <v/>
      </c>
      <c r="R92" s="11">
        <f>IF($B92="","",IF(Parâmetros!$B$64=2,P92,Q92))</f>
        <v/>
      </c>
      <c r="S92" s="18">
        <f>IF($B92="","",IF(Parâmetros!$B$64=2,IF(1-(Parâmetros!$B$61+N92+Parâmetros!$B$78)-Parâmetros!$B$66&lt;=0,"ERRO",M92/(1-(Parâmetros!$B$61+N92+Parâmetros!$B$78)-Parâmetros!$B$66)),IF((1-Parâmetros!$B$65)*(1-(Parâmetros!$B$61+N92+Parâmetros!$B$78))&lt;=0,"ERRO",(1-Parâmetros!$B$65)*M92/((1-Parâmetros!$B$65)*(1-(Parâmetros!$B$61+N92+Parâmetros!$B$78))))))</f>
        <v/>
      </c>
      <c r="T92" s="18">
        <f>IF($B92="","",IF(ISNUMBER(R92),R92*Parâmetros!$B$61,""))</f>
        <v/>
      </c>
      <c r="U92" s="18">
        <f>IF($B92="","",IF(ISNUMBER(R92),R92*N92,""))</f>
        <v/>
      </c>
      <c r="V92" s="18">
        <f>IF($B92="","",IF(ISNUMBER(R92),R92*Parâmetros!$B$78,""))</f>
        <v/>
      </c>
      <c r="W92" s="18">
        <f>IF($B92="","",IF(ISNUMBER(R92),IF(Parâmetros!$B$64=2,R92*Parâmetros!$B$66,Parâmetros!$B$65*(R92-M92-R92*(Parâmetros!$B$61+N92+Parâmetros!$B$78))),""))</f>
        <v/>
      </c>
      <c r="X92" s="11">
        <f>IF($B92="","",IF(ISNUMBER(R92),R92-M92-T92-U92-V92-W92,""))</f>
        <v/>
      </c>
      <c r="Y92" s="19">
        <f>IF($B92="","",IF(AND(ISNUMBER(R92),R92&gt;0),X92/R92,""))</f>
        <v/>
      </c>
      <c r="Z92" s="18">
        <f>IF($B92="","",IF(AND(ISNUMBER(R92),ISNUMBER(G92)),R92-G92,""))</f>
        <v/>
      </c>
      <c r="AA92" s="20">
        <f>IF($B92="","",IF(NOT(ISNUMBER(R92)),"Percentuais ≥ 100%",IF(N(D92)=0,"Sem tempo",IF(J92=0,"Sem materiais",""))))</f>
        <v/>
      </c>
    </row>
    <row r="93">
      <c r="A93" s="7" t="n"/>
      <c r="B93" s="7" t="n"/>
      <c r="C93" s="7" t="n"/>
      <c r="D93" s="7" t="n"/>
      <c r="E93" s="8" t="n"/>
      <c r="F93" s="8" t="n"/>
      <c r="G93" s="8" t="n"/>
      <c r="H93" s="13" t="n"/>
      <c r="I93" s="13" t="n"/>
      <c r="J93" s="18">
        <f>IF($B93="","",SUMIFS(Itens!$E$2:$E$158,Itens!$A$2:$A$158,$B93)+N(F93))</f>
        <v/>
      </c>
      <c r="K93" s="18">
        <f>IF($B93="","",N(D93)/60*Parâmetros!$B$57)</f>
        <v/>
      </c>
      <c r="L93" s="18">
        <f>IF($B93="","",N(D93)/60*Parâmetros!$B$60)</f>
        <v/>
      </c>
      <c r="M93" s="11">
        <f>IF($B93="","",J93+N(E93)+K93+L93)</f>
        <v/>
      </c>
      <c r="N93" s="19">
        <f>IF($B93="","",IF(H93="",Parâmetros!$B$62,H93))</f>
        <v/>
      </c>
      <c r="O93" s="19">
        <f>IF($B93="","",IF(I93="",Parâmetros!$B$63,I93))</f>
        <v/>
      </c>
      <c r="P93" s="18">
        <f>IF($B93="","",IF(1-(Parâmetros!$B$61+N93+Parâmetros!$B$78)-Parâmetros!$B$66-O93&lt;=0,"ERRO",M93/(1-(Parâmetros!$B$61+N93+Parâmetros!$B$78)-Parâmetros!$B$66-O93)))</f>
        <v/>
      </c>
      <c r="Q93" s="18">
        <f>IF($B93="","",IF((1-Parâmetros!$B$65)*(1-(Parâmetros!$B$61+N93+Parâmetros!$B$78))-O93&lt;=0,"ERRO",(1-Parâmetros!$B$65)*M93/((1-Parâmetros!$B$65)*(1-(Parâmetros!$B$61+N93+Parâmetros!$B$78))-O93)))</f>
        <v/>
      </c>
      <c r="R93" s="11">
        <f>IF($B93="","",IF(Parâmetros!$B$64=2,P93,Q93))</f>
        <v/>
      </c>
      <c r="S93" s="18">
        <f>IF($B93="","",IF(Parâmetros!$B$64=2,IF(1-(Parâmetros!$B$61+N93+Parâmetros!$B$78)-Parâmetros!$B$66&lt;=0,"ERRO",M93/(1-(Parâmetros!$B$61+N93+Parâmetros!$B$78)-Parâmetros!$B$66)),IF((1-Parâmetros!$B$65)*(1-(Parâmetros!$B$61+N93+Parâmetros!$B$78))&lt;=0,"ERRO",(1-Parâmetros!$B$65)*M93/((1-Parâmetros!$B$65)*(1-(Parâmetros!$B$61+N93+Parâmetros!$B$78))))))</f>
        <v/>
      </c>
      <c r="T93" s="18">
        <f>IF($B93="","",IF(ISNUMBER(R93),R93*Parâmetros!$B$61,""))</f>
        <v/>
      </c>
      <c r="U93" s="18">
        <f>IF($B93="","",IF(ISNUMBER(R93),R93*N93,""))</f>
        <v/>
      </c>
      <c r="V93" s="18">
        <f>IF($B93="","",IF(ISNUMBER(R93),R93*Parâmetros!$B$78,""))</f>
        <v/>
      </c>
      <c r="W93" s="18">
        <f>IF($B93="","",IF(ISNUMBER(R93),IF(Parâmetros!$B$64=2,R93*Parâmetros!$B$66,Parâmetros!$B$65*(R93-M93-R93*(Parâmetros!$B$61+N93+Parâmetros!$B$78))),""))</f>
        <v/>
      </c>
      <c r="X93" s="11">
        <f>IF($B93="","",IF(ISNUMBER(R93),R93-M93-T93-U93-V93-W93,""))</f>
        <v/>
      </c>
      <c r="Y93" s="19">
        <f>IF($B93="","",IF(AND(ISNUMBER(R93),R93&gt;0),X93/R93,""))</f>
        <v/>
      </c>
      <c r="Z93" s="18">
        <f>IF($B93="","",IF(AND(ISNUMBER(R93),ISNUMBER(G93)),R93-G93,""))</f>
        <v/>
      </c>
      <c r="AA93" s="20">
        <f>IF($B93="","",IF(NOT(ISNUMBER(R93)),"Percentuais ≥ 100%",IF(N(D93)=0,"Sem tempo",IF(J93=0,"Sem materiais",""))))</f>
        <v/>
      </c>
    </row>
    <row r="94">
      <c r="A94" s="7" t="n"/>
      <c r="B94" s="7" t="n"/>
      <c r="C94" s="7" t="n"/>
      <c r="D94" s="7" t="n"/>
      <c r="E94" s="8" t="n"/>
      <c r="F94" s="8" t="n"/>
      <c r="G94" s="8" t="n"/>
      <c r="H94" s="13" t="n"/>
      <c r="I94" s="13" t="n"/>
      <c r="J94" s="18">
        <f>IF($B94="","",SUMIFS(Itens!$E$2:$E$158,Itens!$A$2:$A$158,$B94)+N(F94))</f>
        <v/>
      </c>
      <c r="K94" s="18">
        <f>IF($B94="","",N(D94)/60*Parâmetros!$B$57)</f>
        <v/>
      </c>
      <c r="L94" s="18">
        <f>IF($B94="","",N(D94)/60*Parâmetros!$B$60)</f>
        <v/>
      </c>
      <c r="M94" s="11">
        <f>IF($B94="","",J94+N(E94)+K94+L94)</f>
        <v/>
      </c>
      <c r="N94" s="19">
        <f>IF($B94="","",IF(H94="",Parâmetros!$B$62,H94))</f>
        <v/>
      </c>
      <c r="O94" s="19">
        <f>IF($B94="","",IF(I94="",Parâmetros!$B$63,I94))</f>
        <v/>
      </c>
      <c r="P94" s="18">
        <f>IF($B94="","",IF(1-(Parâmetros!$B$61+N94+Parâmetros!$B$78)-Parâmetros!$B$66-O94&lt;=0,"ERRO",M94/(1-(Parâmetros!$B$61+N94+Parâmetros!$B$78)-Parâmetros!$B$66-O94)))</f>
        <v/>
      </c>
      <c r="Q94" s="18">
        <f>IF($B94="","",IF((1-Parâmetros!$B$65)*(1-(Parâmetros!$B$61+N94+Parâmetros!$B$78))-O94&lt;=0,"ERRO",(1-Parâmetros!$B$65)*M94/((1-Parâmetros!$B$65)*(1-(Parâmetros!$B$61+N94+Parâmetros!$B$78))-O94)))</f>
        <v/>
      </c>
      <c r="R94" s="11">
        <f>IF($B94="","",IF(Parâmetros!$B$64=2,P94,Q94))</f>
        <v/>
      </c>
      <c r="S94" s="18">
        <f>IF($B94="","",IF(Parâmetros!$B$64=2,IF(1-(Parâmetros!$B$61+N94+Parâmetros!$B$78)-Parâmetros!$B$66&lt;=0,"ERRO",M94/(1-(Parâmetros!$B$61+N94+Parâmetros!$B$78)-Parâmetros!$B$66)),IF((1-Parâmetros!$B$65)*(1-(Parâmetros!$B$61+N94+Parâmetros!$B$78))&lt;=0,"ERRO",(1-Parâmetros!$B$65)*M94/((1-Parâmetros!$B$65)*(1-(Parâmetros!$B$61+N94+Parâmetros!$B$78))))))</f>
        <v/>
      </c>
      <c r="T94" s="18">
        <f>IF($B94="","",IF(ISNUMBER(R94),R94*Parâmetros!$B$61,""))</f>
        <v/>
      </c>
      <c r="U94" s="18">
        <f>IF($B94="","",IF(ISNUMBER(R94),R94*N94,""))</f>
        <v/>
      </c>
      <c r="V94" s="18">
        <f>IF($B94="","",IF(ISNUMBER(R94),R94*Parâmetros!$B$78,""))</f>
        <v/>
      </c>
      <c r="W94" s="18">
        <f>IF($B94="","",IF(ISNUMBER(R94),IF(Parâmetros!$B$64=2,R94*Parâmetros!$B$66,Parâmetros!$B$65*(R94-M94-R94*(Parâmetros!$B$61+N94+Parâmetros!$B$78))),""))</f>
        <v/>
      </c>
      <c r="X94" s="11">
        <f>IF($B94="","",IF(ISNUMBER(R94),R94-M94-T94-U94-V94-W94,""))</f>
        <v/>
      </c>
      <c r="Y94" s="19">
        <f>IF($B94="","",IF(AND(ISNUMBER(R94),R94&gt;0),X94/R94,""))</f>
        <v/>
      </c>
      <c r="Z94" s="18">
        <f>IF($B94="","",IF(AND(ISNUMBER(R94),ISNUMBER(G94)),R94-G94,""))</f>
        <v/>
      </c>
      <c r="AA94" s="20">
        <f>IF($B94="","",IF(NOT(ISNUMBER(R94)),"Percentuais ≥ 100%",IF(N(D94)=0,"Sem tempo",IF(J94=0,"Sem materiais",""))))</f>
        <v/>
      </c>
    </row>
    <row r="95">
      <c r="A95" s="7" t="n"/>
      <c r="B95" s="7" t="n"/>
      <c r="C95" s="7" t="n"/>
      <c r="D95" s="7" t="n"/>
      <c r="E95" s="8" t="n"/>
      <c r="F95" s="8" t="n"/>
      <c r="G95" s="8" t="n"/>
      <c r="H95" s="13" t="n"/>
      <c r="I95" s="13" t="n"/>
      <c r="J95" s="18">
        <f>IF($B95="","",SUMIFS(Itens!$E$2:$E$158,Itens!$A$2:$A$158,$B95)+N(F95))</f>
        <v/>
      </c>
      <c r="K95" s="18">
        <f>IF($B95="","",N(D95)/60*Parâmetros!$B$57)</f>
        <v/>
      </c>
      <c r="L95" s="18">
        <f>IF($B95="","",N(D95)/60*Parâmetros!$B$60)</f>
        <v/>
      </c>
      <c r="M95" s="11">
        <f>IF($B95="","",J95+N(E95)+K95+L95)</f>
        <v/>
      </c>
      <c r="N95" s="19">
        <f>IF($B95="","",IF(H95="",Parâmetros!$B$62,H95))</f>
        <v/>
      </c>
      <c r="O95" s="19">
        <f>IF($B95="","",IF(I95="",Parâmetros!$B$63,I95))</f>
        <v/>
      </c>
      <c r="P95" s="18">
        <f>IF($B95="","",IF(1-(Parâmetros!$B$61+N95+Parâmetros!$B$78)-Parâmetros!$B$66-O95&lt;=0,"ERRO",M95/(1-(Parâmetros!$B$61+N95+Parâmetros!$B$78)-Parâmetros!$B$66-O95)))</f>
        <v/>
      </c>
      <c r="Q95" s="18">
        <f>IF($B95="","",IF((1-Parâmetros!$B$65)*(1-(Parâmetros!$B$61+N95+Parâmetros!$B$78))-O95&lt;=0,"ERRO",(1-Parâmetros!$B$65)*M95/((1-Parâmetros!$B$65)*(1-(Parâmetros!$B$61+N95+Parâmetros!$B$78))-O95)))</f>
        <v/>
      </c>
      <c r="R95" s="11">
        <f>IF($B95="","",IF(Parâmetros!$B$64=2,P95,Q95))</f>
        <v/>
      </c>
      <c r="S95" s="18">
        <f>IF($B95="","",IF(Parâmetros!$B$64=2,IF(1-(Parâmetros!$B$61+N95+Parâmetros!$B$78)-Parâmetros!$B$66&lt;=0,"ERRO",M95/(1-(Parâmetros!$B$61+N95+Parâmetros!$B$78)-Parâmetros!$B$66)),IF((1-Parâmetros!$B$65)*(1-(Parâmetros!$B$61+N95+Parâmetros!$B$78))&lt;=0,"ERRO",(1-Parâmetros!$B$65)*M95/((1-Parâmetros!$B$65)*(1-(Parâmetros!$B$61+N95+Parâmetros!$B$78))))))</f>
        <v/>
      </c>
      <c r="T95" s="18">
        <f>IF($B95="","",IF(ISNUMBER(R95),R95*Parâmetros!$B$61,""))</f>
        <v/>
      </c>
      <c r="U95" s="18">
        <f>IF($B95="","",IF(ISNUMBER(R95),R95*N95,""))</f>
        <v/>
      </c>
      <c r="V95" s="18">
        <f>IF($B95="","",IF(ISNUMBER(R95),R95*Parâmetros!$B$78,""))</f>
        <v/>
      </c>
      <c r="W95" s="18">
        <f>IF($B95="","",IF(ISNUMBER(R95),IF(Parâmetros!$B$64=2,R95*Parâmetros!$B$66,Parâmetros!$B$65*(R95-M95-R95*(Parâmetros!$B$61+N95+Parâmetros!$B$78))),""))</f>
        <v/>
      </c>
      <c r="X95" s="11">
        <f>IF($B95="","",IF(ISNUMBER(R95),R95-M95-T95-U95-V95-W95,""))</f>
        <v/>
      </c>
      <c r="Y95" s="19">
        <f>IF($B95="","",IF(AND(ISNUMBER(R95),R95&gt;0),X95/R95,""))</f>
        <v/>
      </c>
      <c r="Z95" s="18">
        <f>IF($B95="","",IF(AND(ISNUMBER(R95),ISNUMBER(G95)),R95-G95,""))</f>
        <v/>
      </c>
      <c r="AA95" s="20">
        <f>IF($B95="","",IF(NOT(ISNUMBER(R95)),"Percentuais ≥ 100%",IF(N(D95)=0,"Sem tempo",IF(J95=0,"Sem materiais",""))))</f>
        <v/>
      </c>
    </row>
    <row r="96">
      <c r="A96" s="7" t="n"/>
      <c r="B96" s="7" t="n"/>
      <c r="C96" s="7" t="n"/>
      <c r="D96" s="7" t="n"/>
      <c r="E96" s="8" t="n"/>
      <c r="F96" s="8" t="n"/>
      <c r="G96" s="8" t="n"/>
      <c r="H96" s="13" t="n"/>
      <c r="I96" s="13" t="n"/>
      <c r="J96" s="18">
        <f>IF($B96="","",SUMIFS(Itens!$E$2:$E$158,Itens!$A$2:$A$158,$B96)+N(F96))</f>
        <v/>
      </c>
      <c r="K96" s="18">
        <f>IF($B96="","",N(D96)/60*Parâmetros!$B$57)</f>
        <v/>
      </c>
      <c r="L96" s="18">
        <f>IF($B96="","",N(D96)/60*Parâmetros!$B$60)</f>
        <v/>
      </c>
      <c r="M96" s="11">
        <f>IF($B96="","",J96+N(E96)+K96+L96)</f>
        <v/>
      </c>
      <c r="N96" s="19">
        <f>IF($B96="","",IF(H96="",Parâmetros!$B$62,H96))</f>
        <v/>
      </c>
      <c r="O96" s="19">
        <f>IF($B96="","",IF(I96="",Parâmetros!$B$63,I96))</f>
        <v/>
      </c>
      <c r="P96" s="18">
        <f>IF($B96="","",IF(1-(Parâmetros!$B$61+N96+Parâmetros!$B$78)-Parâmetros!$B$66-O96&lt;=0,"ERRO",M96/(1-(Parâmetros!$B$61+N96+Parâmetros!$B$78)-Parâmetros!$B$66-O96)))</f>
        <v/>
      </c>
      <c r="Q96" s="18">
        <f>IF($B96="","",IF((1-Parâmetros!$B$65)*(1-(Parâmetros!$B$61+N96+Parâmetros!$B$78))-O96&lt;=0,"ERRO",(1-Parâmetros!$B$65)*M96/((1-Parâmetros!$B$65)*(1-(Parâmetros!$B$61+N96+Parâmetros!$B$78))-O96)))</f>
        <v/>
      </c>
      <c r="R96" s="11">
        <f>IF($B96="","",IF(Parâmetros!$B$64=2,P96,Q96))</f>
        <v/>
      </c>
      <c r="S96" s="18">
        <f>IF($B96="","",IF(Parâmetros!$B$64=2,IF(1-(Parâmetros!$B$61+N96+Parâmetros!$B$78)-Parâmetros!$B$66&lt;=0,"ERRO",M96/(1-(Parâmetros!$B$61+N96+Parâmetros!$B$78)-Parâmetros!$B$66)),IF((1-Parâmetros!$B$65)*(1-(Parâmetros!$B$61+N96+Parâmetros!$B$78))&lt;=0,"ERRO",(1-Parâmetros!$B$65)*M96/((1-Parâmetros!$B$65)*(1-(Parâmetros!$B$61+N96+Parâmetros!$B$78))))))</f>
        <v/>
      </c>
      <c r="T96" s="18">
        <f>IF($B96="","",IF(ISNUMBER(R96),R96*Parâmetros!$B$61,""))</f>
        <v/>
      </c>
      <c r="U96" s="18">
        <f>IF($B96="","",IF(ISNUMBER(R96),R96*N96,""))</f>
        <v/>
      </c>
      <c r="V96" s="18">
        <f>IF($B96="","",IF(ISNUMBER(R96),R96*Parâmetros!$B$78,""))</f>
        <v/>
      </c>
      <c r="W96" s="18">
        <f>IF($B96="","",IF(ISNUMBER(R96),IF(Parâmetros!$B$64=2,R96*Parâmetros!$B$66,Parâmetros!$B$65*(R96-M96-R96*(Parâmetros!$B$61+N96+Parâmetros!$B$78))),""))</f>
        <v/>
      </c>
      <c r="X96" s="11">
        <f>IF($B96="","",IF(ISNUMBER(R96),R96-M96-T96-U96-V96-W96,""))</f>
        <v/>
      </c>
      <c r="Y96" s="19">
        <f>IF($B96="","",IF(AND(ISNUMBER(R96),R96&gt;0),X96/R96,""))</f>
        <v/>
      </c>
      <c r="Z96" s="18">
        <f>IF($B96="","",IF(AND(ISNUMBER(R96),ISNUMBER(G96)),R96-G96,""))</f>
        <v/>
      </c>
      <c r="AA96" s="20">
        <f>IF($B96="","",IF(NOT(ISNUMBER(R96)),"Percentuais ≥ 100%",IF(N(D96)=0,"Sem tempo",IF(J96=0,"Sem materiais",""))))</f>
        <v/>
      </c>
    </row>
    <row r="97">
      <c r="A97" s="7" t="n"/>
      <c r="B97" s="7" t="n"/>
      <c r="C97" s="7" t="n"/>
      <c r="D97" s="7" t="n"/>
      <c r="E97" s="8" t="n"/>
      <c r="F97" s="8" t="n"/>
      <c r="G97" s="8" t="n"/>
      <c r="H97" s="13" t="n"/>
      <c r="I97" s="13" t="n"/>
      <c r="J97" s="18">
        <f>IF($B97="","",SUMIFS(Itens!$E$2:$E$158,Itens!$A$2:$A$158,$B97)+N(F97))</f>
        <v/>
      </c>
      <c r="K97" s="18">
        <f>IF($B97="","",N(D97)/60*Parâmetros!$B$57)</f>
        <v/>
      </c>
      <c r="L97" s="18">
        <f>IF($B97="","",N(D97)/60*Parâmetros!$B$60)</f>
        <v/>
      </c>
      <c r="M97" s="11">
        <f>IF($B97="","",J97+N(E97)+K97+L97)</f>
        <v/>
      </c>
      <c r="N97" s="19">
        <f>IF($B97="","",IF(H97="",Parâmetros!$B$62,H97))</f>
        <v/>
      </c>
      <c r="O97" s="19">
        <f>IF($B97="","",IF(I97="",Parâmetros!$B$63,I97))</f>
        <v/>
      </c>
      <c r="P97" s="18">
        <f>IF($B97="","",IF(1-(Parâmetros!$B$61+N97+Parâmetros!$B$78)-Parâmetros!$B$66-O97&lt;=0,"ERRO",M97/(1-(Parâmetros!$B$61+N97+Parâmetros!$B$78)-Parâmetros!$B$66-O97)))</f>
        <v/>
      </c>
      <c r="Q97" s="18">
        <f>IF($B97="","",IF((1-Parâmetros!$B$65)*(1-(Parâmetros!$B$61+N97+Parâmetros!$B$78))-O97&lt;=0,"ERRO",(1-Parâmetros!$B$65)*M97/((1-Parâmetros!$B$65)*(1-(Parâmetros!$B$61+N97+Parâmetros!$B$78))-O97)))</f>
        <v/>
      </c>
      <c r="R97" s="11">
        <f>IF($B97="","",IF(Parâmetros!$B$64=2,P97,Q97))</f>
        <v/>
      </c>
      <c r="S97" s="18">
        <f>IF($B97="","",IF(Parâmetros!$B$64=2,IF(1-(Parâmetros!$B$61+N97+Parâmetros!$B$78)-Parâmetros!$B$66&lt;=0,"ERRO",M97/(1-(Parâmetros!$B$61+N97+Parâmetros!$B$78)-Parâmetros!$B$66)),IF((1-Parâmetros!$B$65)*(1-(Parâmetros!$B$61+N97+Parâmetros!$B$78))&lt;=0,"ERRO",(1-Parâmetros!$B$65)*M97/((1-Parâmetros!$B$65)*(1-(Parâmetros!$B$61+N97+Parâmetros!$B$78))))))</f>
        <v/>
      </c>
      <c r="T97" s="18">
        <f>IF($B97="","",IF(ISNUMBER(R97),R97*Parâmetros!$B$61,""))</f>
        <v/>
      </c>
      <c r="U97" s="18">
        <f>IF($B97="","",IF(ISNUMBER(R97),R97*N97,""))</f>
        <v/>
      </c>
      <c r="V97" s="18">
        <f>IF($B97="","",IF(ISNUMBER(R97),R97*Parâmetros!$B$78,""))</f>
        <v/>
      </c>
      <c r="W97" s="18">
        <f>IF($B97="","",IF(ISNUMBER(R97),IF(Parâmetros!$B$64=2,R97*Parâmetros!$B$66,Parâmetros!$B$65*(R97-M97-R97*(Parâmetros!$B$61+N97+Parâmetros!$B$78))),""))</f>
        <v/>
      </c>
      <c r="X97" s="11">
        <f>IF($B97="","",IF(ISNUMBER(R97),R97-M97-T97-U97-V97-W97,""))</f>
        <v/>
      </c>
      <c r="Y97" s="19">
        <f>IF($B97="","",IF(AND(ISNUMBER(R97),R97&gt;0),X97/R97,""))</f>
        <v/>
      </c>
      <c r="Z97" s="18">
        <f>IF($B97="","",IF(AND(ISNUMBER(R97),ISNUMBER(G97)),R97-G97,""))</f>
        <v/>
      </c>
      <c r="AA97" s="20">
        <f>IF($B97="","",IF(NOT(ISNUMBER(R97)),"Percentuais ≥ 100%",IF(N(D97)=0,"Sem tempo",IF(J97=0,"Sem materiais",""))))</f>
        <v/>
      </c>
    </row>
    <row r="98">
      <c r="A98" s="7" t="n"/>
      <c r="B98" s="7" t="n"/>
      <c r="C98" s="7" t="n"/>
      <c r="D98" s="7" t="n"/>
      <c r="E98" s="8" t="n"/>
      <c r="F98" s="8" t="n"/>
      <c r="G98" s="8" t="n"/>
      <c r="H98" s="13" t="n"/>
      <c r="I98" s="13" t="n"/>
      <c r="J98" s="18">
        <f>IF($B98="","",SUMIFS(Itens!$E$2:$E$158,Itens!$A$2:$A$158,$B98)+N(F98))</f>
        <v/>
      </c>
      <c r="K98" s="18">
        <f>IF($B98="","",N(D98)/60*Parâmetros!$B$57)</f>
        <v/>
      </c>
      <c r="L98" s="18">
        <f>IF($B98="","",N(D98)/60*Parâmetros!$B$60)</f>
        <v/>
      </c>
      <c r="M98" s="11">
        <f>IF($B98="","",J98+N(E98)+K98+L98)</f>
        <v/>
      </c>
      <c r="N98" s="19">
        <f>IF($B98="","",IF(H98="",Parâmetros!$B$62,H98))</f>
        <v/>
      </c>
      <c r="O98" s="19">
        <f>IF($B98="","",IF(I98="",Parâmetros!$B$63,I98))</f>
        <v/>
      </c>
      <c r="P98" s="18">
        <f>IF($B98="","",IF(1-(Parâmetros!$B$61+N98+Parâmetros!$B$78)-Parâmetros!$B$66-O98&lt;=0,"ERRO",M98/(1-(Parâmetros!$B$61+N98+Parâmetros!$B$78)-Parâmetros!$B$66-O98)))</f>
        <v/>
      </c>
      <c r="Q98" s="18">
        <f>IF($B98="","",IF((1-Parâmetros!$B$65)*(1-(Parâmetros!$B$61+N98+Parâmetros!$B$78))-O98&lt;=0,"ERRO",(1-Parâmetros!$B$65)*M98/((1-Parâmetros!$B$65)*(1-(Parâmetros!$B$61+N98+Parâmetros!$B$78))-O98)))</f>
        <v/>
      </c>
      <c r="R98" s="11">
        <f>IF($B98="","",IF(Parâmetros!$B$64=2,P98,Q98))</f>
        <v/>
      </c>
      <c r="S98" s="18">
        <f>IF($B98="","",IF(Parâmetros!$B$64=2,IF(1-(Parâmetros!$B$61+N98+Parâmetros!$B$78)-Parâmetros!$B$66&lt;=0,"ERRO",M98/(1-(Parâmetros!$B$61+N98+Parâmetros!$B$78)-Parâmetros!$B$66)),IF((1-Parâmetros!$B$65)*(1-(Parâmetros!$B$61+N98+Parâmetros!$B$78))&lt;=0,"ERRO",(1-Parâmetros!$B$65)*M98/((1-Parâmetros!$B$65)*(1-(Parâmetros!$B$61+N98+Parâmetros!$B$78))))))</f>
        <v/>
      </c>
      <c r="T98" s="18">
        <f>IF($B98="","",IF(ISNUMBER(R98),R98*Parâmetros!$B$61,""))</f>
        <v/>
      </c>
      <c r="U98" s="18">
        <f>IF($B98="","",IF(ISNUMBER(R98),R98*N98,""))</f>
        <v/>
      </c>
      <c r="V98" s="18">
        <f>IF($B98="","",IF(ISNUMBER(R98),R98*Parâmetros!$B$78,""))</f>
        <v/>
      </c>
      <c r="W98" s="18">
        <f>IF($B98="","",IF(ISNUMBER(R98),IF(Parâmetros!$B$64=2,R98*Parâmetros!$B$66,Parâmetros!$B$65*(R98-M98-R98*(Parâmetros!$B$61+N98+Parâmetros!$B$78))),""))</f>
        <v/>
      </c>
      <c r="X98" s="11">
        <f>IF($B98="","",IF(ISNUMBER(R98),R98-M98-T98-U98-V98-W98,""))</f>
        <v/>
      </c>
      <c r="Y98" s="19">
        <f>IF($B98="","",IF(AND(ISNUMBER(R98),R98&gt;0),X98/R98,""))</f>
        <v/>
      </c>
      <c r="Z98" s="18">
        <f>IF($B98="","",IF(AND(ISNUMBER(R98),ISNUMBER(G98)),R98-G98,""))</f>
        <v/>
      </c>
      <c r="AA98" s="20">
        <f>IF($B98="","",IF(NOT(ISNUMBER(R98)),"Percentuais ≥ 100%",IF(N(D98)=0,"Sem tempo",IF(J98=0,"Sem materiais",""))))</f>
        <v/>
      </c>
    </row>
    <row r="99">
      <c r="A99" s="7" t="n"/>
      <c r="B99" s="7" t="n"/>
      <c r="C99" s="7" t="n"/>
      <c r="D99" s="7" t="n"/>
      <c r="E99" s="8" t="n"/>
      <c r="F99" s="8" t="n"/>
      <c r="G99" s="8" t="n"/>
      <c r="H99" s="13" t="n"/>
      <c r="I99" s="13" t="n"/>
      <c r="J99" s="18">
        <f>IF($B99="","",SUMIFS(Itens!$E$2:$E$158,Itens!$A$2:$A$158,$B99)+N(F99))</f>
        <v/>
      </c>
      <c r="K99" s="18">
        <f>IF($B99="","",N(D99)/60*Parâmetros!$B$57)</f>
        <v/>
      </c>
      <c r="L99" s="18">
        <f>IF($B99="","",N(D99)/60*Parâmetros!$B$60)</f>
        <v/>
      </c>
      <c r="M99" s="11">
        <f>IF($B99="","",J99+N(E99)+K99+L99)</f>
        <v/>
      </c>
      <c r="N99" s="19">
        <f>IF($B99="","",IF(H99="",Parâmetros!$B$62,H99))</f>
        <v/>
      </c>
      <c r="O99" s="19">
        <f>IF($B99="","",IF(I99="",Parâmetros!$B$63,I99))</f>
        <v/>
      </c>
      <c r="P99" s="18">
        <f>IF($B99="","",IF(1-(Parâmetros!$B$61+N99+Parâmetros!$B$78)-Parâmetros!$B$66-O99&lt;=0,"ERRO",M99/(1-(Parâmetros!$B$61+N99+Parâmetros!$B$78)-Parâmetros!$B$66-O99)))</f>
        <v/>
      </c>
      <c r="Q99" s="18">
        <f>IF($B99="","",IF((1-Parâmetros!$B$65)*(1-(Parâmetros!$B$61+N99+Parâmetros!$B$78))-O99&lt;=0,"ERRO",(1-Parâmetros!$B$65)*M99/((1-Parâmetros!$B$65)*(1-(Parâmetros!$B$61+N99+Parâmetros!$B$78))-O99)))</f>
        <v/>
      </c>
      <c r="R99" s="11">
        <f>IF($B99="","",IF(Parâmetros!$B$64=2,P99,Q99))</f>
        <v/>
      </c>
      <c r="S99" s="18">
        <f>IF($B99="","",IF(Parâmetros!$B$64=2,IF(1-(Parâmetros!$B$61+N99+Parâmetros!$B$78)-Parâmetros!$B$66&lt;=0,"ERRO",M99/(1-(Parâmetros!$B$61+N99+Parâmetros!$B$78)-Parâmetros!$B$66)),IF((1-Parâmetros!$B$65)*(1-(Parâmetros!$B$61+N99+Parâmetros!$B$78))&lt;=0,"ERRO",(1-Parâmetros!$B$65)*M99/((1-Parâmetros!$B$65)*(1-(Parâmetros!$B$61+N99+Parâmetros!$B$78))))))</f>
        <v/>
      </c>
      <c r="T99" s="18">
        <f>IF($B99="","",IF(ISNUMBER(R99),R99*Parâmetros!$B$61,""))</f>
        <v/>
      </c>
      <c r="U99" s="18">
        <f>IF($B99="","",IF(ISNUMBER(R99),R99*N99,""))</f>
        <v/>
      </c>
      <c r="V99" s="18">
        <f>IF($B99="","",IF(ISNUMBER(R99),R99*Parâmetros!$B$78,""))</f>
        <v/>
      </c>
      <c r="W99" s="18">
        <f>IF($B99="","",IF(ISNUMBER(R99),IF(Parâmetros!$B$64=2,R99*Parâmetros!$B$66,Parâmetros!$B$65*(R99-M99-R99*(Parâmetros!$B$61+N99+Parâmetros!$B$78))),""))</f>
        <v/>
      </c>
      <c r="X99" s="11">
        <f>IF($B99="","",IF(ISNUMBER(R99),R99-M99-T99-U99-V99-W99,""))</f>
        <v/>
      </c>
      <c r="Y99" s="19">
        <f>IF($B99="","",IF(AND(ISNUMBER(R99),R99&gt;0),X99/R99,""))</f>
        <v/>
      </c>
      <c r="Z99" s="18">
        <f>IF($B99="","",IF(AND(ISNUMBER(R99),ISNUMBER(G99)),R99-G99,""))</f>
        <v/>
      </c>
      <c r="AA99" s="20">
        <f>IF($B99="","",IF(NOT(ISNUMBER(R99)),"Percentuais ≥ 100%",IF(N(D99)=0,"Sem tempo",IF(J99=0,"Sem materiais",""))))</f>
        <v/>
      </c>
    </row>
    <row r="100">
      <c r="A100" s="7" t="n"/>
      <c r="B100" s="7" t="n"/>
      <c r="C100" s="7" t="n"/>
      <c r="D100" s="7" t="n"/>
      <c r="E100" s="8" t="n"/>
      <c r="F100" s="8" t="n"/>
      <c r="G100" s="8" t="n"/>
      <c r="H100" s="13" t="n"/>
      <c r="I100" s="13" t="n"/>
      <c r="J100" s="18">
        <f>IF($B100="","",SUMIFS(Itens!$E$2:$E$158,Itens!$A$2:$A$158,$B100)+N(F100))</f>
        <v/>
      </c>
      <c r="K100" s="18">
        <f>IF($B100="","",N(D100)/60*Parâmetros!$B$57)</f>
        <v/>
      </c>
      <c r="L100" s="18">
        <f>IF($B100="","",N(D100)/60*Parâmetros!$B$60)</f>
        <v/>
      </c>
      <c r="M100" s="11">
        <f>IF($B100="","",J100+N(E100)+K100+L100)</f>
        <v/>
      </c>
      <c r="N100" s="19">
        <f>IF($B100="","",IF(H100="",Parâmetros!$B$62,H100))</f>
        <v/>
      </c>
      <c r="O100" s="19">
        <f>IF($B100="","",IF(I100="",Parâmetros!$B$63,I100))</f>
        <v/>
      </c>
      <c r="P100" s="18">
        <f>IF($B100="","",IF(1-(Parâmetros!$B$61+N100+Parâmetros!$B$78)-Parâmetros!$B$66-O100&lt;=0,"ERRO",M100/(1-(Parâmetros!$B$61+N100+Parâmetros!$B$78)-Parâmetros!$B$66-O100)))</f>
        <v/>
      </c>
      <c r="Q100" s="18">
        <f>IF($B100="","",IF((1-Parâmetros!$B$65)*(1-(Parâmetros!$B$61+N100+Parâmetros!$B$78))-O100&lt;=0,"ERRO",(1-Parâmetros!$B$65)*M100/((1-Parâmetros!$B$65)*(1-(Parâmetros!$B$61+N100+Parâmetros!$B$78))-O100)))</f>
        <v/>
      </c>
      <c r="R100" s="11">
        <f>IF($B100="","",IF(Parâmetros!$B$64=2,P100,Q100))</f>
        <v/>
      </c>
      <c r="S100" s="18">
        <f>IF($B100="","",IF(Parâmetros!$B$64=2,IF(1-(Parâmetros!$B$61+N100+Parâmetros!$B$78)-Parâmetros!$B$66&lt;=0,"ERRO",M100/(1-(Parâmetros!$B$61+N100+Parâmetros!$B$78)-Parâmetros!$B$66)),IF((1-Parâmetros!$B$65)*(1-(Parâmetros!$B$61+N100+Parâmetros!$B$78))&lt;=0,"ERRO",(1-Parâmetros!$B$65)*M100/((1-Parâmetros!$B$65)*(1-(Parâmetros!$B$61+N100+Parâmetros!$B$78))))))</f>
        <v/>
      </c>
      <c r="T100" s="18">
        <f>IF($B100="","",IF(ISNUMBER(R100),R100*Parâmetros!$B$61,""))</f>
        <v/>
      </c>
      <c r="U100" s="18">
        <f>IF($B100="","",IF(ISNUMBER(R100),R100*N100,""))</f>
        <v/>
      </c>
      <c r="V100" s="18">
        <f>IF($B100="","",IF(ISNUMBER(R100),R100*Parâmetros!$B$78,""))</f>
        <v/>
      </c>
      <c r="W100" s="18">
        <f>IF($B100="","",IF(ISNUMBER(R100),IF(Parâmetros!$B$64=2,R100*Parâmetros!$B$66,Parâmetros!$B$65*(R100-M100-R100*(Parâmetros!$B$61+N100+Parâmetros!$B$78))),""))</f>
        <v/>
      </c>
      <c r="X100" s="11">
        <f>IF($B100="","",IF(ISNUMBER(R100),R100-M100-T100-U100-V100-W100,""))</f>
        <v/>
      </c>
      <c r="Y100" s="19">
        <f>IF($B100="","",IF(AND(ISNUMBER(R100),R100&gt;0),X100/R100,""))</f>
        <v/>
      </c>
      <c r="Z100" s="18">
        <f>IF($B100="","",IF(AND(ISNUMBER(R100),ISNUMBER(G100)),R100-G100,""))</f>
        <v/>
      </c>
      <c r="AA100" s="20">
        <f>IF($B100="","",IF(NOT(ISNUMBER(R100)),"Percentuais ≥ 100%",IF(N(D100)=0,"Sem tempo",IF(J100=0,"Sem materiais",""))))</f>
        <v/>
      </c>
    </row>
    <row r="101">
      <c r="A101" s="7" t="n"/>
      <c r="B101" s="7" t="n"/>
      <c r="C101" s="7" t="n"/>
      <c r="D101" s="7" t="n"/>
      <c r="E101" s="8" t="n"/>
      <c r="F101" s="8" t="n"/>
      <c r="G101" s="8" t="n"/>
      <c r="H101" s="13" t="n"/>
      <c r="I101" s="13" t="n"/>
      <c r="J101" s="18">
        <f>IF($B101="","",SUMIFS(Itens!$E$2:$E$158,Itens!$A$2:$A$158,$B101)+N(F101))</f>
        <v/>
      </c>
      <c r="K101" s="18">
        <f>IF($B101="","",N(D101)/60*Parâmetros!$B$57)</f>
        <v/>
      </c>
      <c r="L101" s="18">
        <f>IF($B101="","",N(D101)/60*Parâmetros!$B$60)</f>
        <v/>
      </c>
      <c r="M101" s="11">
        <f>IF($B101="","",J101+N(E101)+K101+L101)</f>
        <v/>
      </c>
      <c r="N101" s="19">
        <f>IF($B101="","",IF(H101="",Parâmetros!$B$62,H101))</f>
        <v/>
      </c>
      <c r="O101" s="19">
        <f>IF($B101="","",IF(I101="",Parâmetros!$B$63,I101))</f>
        <v/>
      </c>
      <c r="P101" s="18">
        <f>IF($B101="","",IF(1-(Parâmetros!$B$61+N101+Parâmetros!$B$78)-Parâmetros!$B$66-O101&lt;=0,"ERRO",M101/(1-(Parâmetros!$B$61+N101+Parâmetros!$B$78)-Parâmetros!$B$66-O101)))</f>
        <v/>
      </c>
      <c r="Q101" s="18">
        <f>IF($B101="","",IF((1-Parâmetros!$B$65)*(1-(Parâmetros!$B$61+N101+Parâmetros!$B$78))-O101&lt;=0,"ERRO",(1-Parâmetros!$B$65)*M101/((1-Parâmetros!$B$65)*(1-(Parâmetros!$B$61+N101+Parâmetros!$B$78))-O101)))</f>
        <v/>
      </c>
      <c r="R101" s="11">
        <f>IF($B101="","",IF(Parâmetros!$B$64=2,P101,Q101))</f>
        <v/>
      </c>
      <c r="S101" s="18">
        <f>IF($B101="","",IF(Parâmetros!$B$64=2,IF(1-(Parâmetros!$B$61+N101+Parâmetros!$B$78)-Parâmetros!$B$66&lt;=0,"ERRO",M101/(1-(Parâmetros!$B$61+N101+Parâmetros!$B$78)-Parâmetros!$B$66)),IF((1-Parâmetros!$B$65)*(1-(Parâmetros!$B$61+N101+Parâmetros!$B$78))&lt;=0,"ERRO",(1-Parâmetros!$B$65)*M101/((1-Parâmetros!$B$65)*(1-(Parâmetros!$B$61+N101+Parâmetros!$B$78))))))</f>
        <v/>
      </c>
      <c r="T101" s="18">
        <f>IF($B101="","",IF(ISNUMBER(R101),R101*Parâmetros!$B$61,""))</f>
        <v/>
      </c>
      <c r="U101" s="18">
        <f>IF($B101="","",IF(ISNUMBER(R101),R101*N101,""))</f>
        <v/>
      </c>
      <c r="V101" s="18">
        <f>IF($B101="","",IF(ISNUMBER(R101),R101*Parâmetros!$B$78,""))</f>
        <v/>
      </c>
      <c r="W101" s="18">
        <f>IF($B101="","",IF(ISNUMBER(R101),IF(Parâmetros!$B$64=2,R101*Parâmetros!$B$66,Parâmetros!$B$65*(R101-M101-R101*(Parâmetros!$B$61+N101+Parâmetros!$B$78))),""))</f>
        <v/>
      </c>
      <c r="X101" s="11">
        <f>IF($B101="","",IF(ISNUMBER(R101),R101-M101-T101-U101-V101-W101,""))</f>
        <v/>
      </c>
      <c r="Y101" s="19">
        <f>IF($B101="","",IF(AND(ISNUMBER(R101),R101&gt;0),X101/R101,""))</f>
        <v/>
      </c>
      <c r="Z101" s="18">
        <f>IF($B101="","",IF(AND(ISNUMBER(R101),ISNUMBER(G101)),R101-G101,""))</f>
        <v/>
      </c>
      <c r="AA101" s="20">
        <f>IF($B101="","",IF(NOT(ISNUMBER(R101)),"Percentuais ≥ 100%",IF(N(D101)=0,"Sem tempo",IF(J101=0,"Sem materiais",""))))</f>
        <v/>
      </c>
    </row>
    <row r="102">
      <c r="A102" s="7" t="n"/>
      <c r="B102" s="7" t="n"/>
      <c r="C102" s="7" t="n"/>
      <c r="D102" s="7" t="n"/>
      <c r="E102" s="8" t="n"/>
      <c r="F102" s="8" t="n"/>
      <c r="G102" s="8" t="n"/>
      <c r="H102" s="13" t="n"/>
      <c r="I102" s="13" t="n"/>
      <c r="J102" s="18">
        <f>IF($B102="","",SUMIFS(Itens!$E$2:$E$158,Itens!$A$2:$A$158,$B102)+N(F102))</f>
        <v/>
      </c>
      <c r="K102" s="18">
        <f>IF($B102="","",N(D102)/60*Parâmetros!$B$57)</f>
        <v/>
      </c>
      <c r="L102" s="18">
        <f>IF($B102="","",N(D102)/60*Parâmetros!$B$60)</f>
        <v/>
      </c>
      <c r="M102" s="11">
        <f>IF($B102="","",J102+N(E102)+K102+L102)</f>
        <v/>
      </c>
      <c r="N102" s="19">
        <f>IF($B102="","",IF(H102="",Parâmetros!$B$62,H102))</f>
        <v/>
      </c>
      <c r="O102" s="19">
        <f>IF($B102="","",IF(I102="",Parâmetros!$B$63,I102))</f>
        <v/>
      </c>
      <c r="P102" s="18">
        <f>IF($B102="","",IF(1-(Parâmetros!$B$61+N102+Parâmetros!$B$78)-Parâmetros!$B$66-O102&lt;=0,"ERRO",M102/(1-(Parâmetros!$B$61+N102+Parâmetros!$B$78)-Parâmetros!$B$66-O102)))</f>
        <v/>
      </c>
      <c r="Q102" s="18">
        <f>IF($B102="","",IF((1-Parâmetros!$B$65)*(1-(Parâmetros!$B$61+N102+Parâmetros!$B$78))-O102&lt;=0,"ERRO",(1-Parâmetros!$B$65)*M102/((1-Parâmetros!$B$65)*(1-(Parâmetros!$B$61+N102+Parâmetros!$B$78))-O102)))</f>
        <v/>
      </c>
      <c r="R102" s="11">
        <f>IF($B102="","",IF(Parâmetros!$B$64=2,P102,Q102))</f>
        <v/>
      </c>
      <c r="S102" s="18">
        <f>IF($B102="","",IF(Parâmetros!$B$64=2,IF(1-(Parâmetros!$B$61+N102+Parâmetros!$B$78)-Parâmetros!$B$66&lt;=0,"ERRO",M102/(1-(Parâmetros!$B$61+N102+Parâmetros!$B$78)-Parâmetros!$B$66)),IF((1-Parâmetros!$B$65)*(1-(Parâmetros!$B$61+N102+Parâmetros!$B$78))&lt;=0,"ERRO",(1-Parâmetros!$B$65)*M102/((1-Parâmetros!$B$65)*(1-(Parâmetros!$B$61+N102+Parâmetros!$B$78))))))</f>
        <v/>
      </c>
      <c r="T102" s="18">
        <f>IF($B102="","",IF(ISNUMBER(R102),R102*Parâmetros!$B$61,""))</f>
        <v/>
      </c>
      <c r="U102" s="18">
        <f>IF($B102="","",IF(ISNUMBER(R102),R102*N102,""))</f>
        <v/>
      </c>
      <c r="V102" s="18">
        <f>IF($B102="","",IF(ISNUMBER(R102),R102*Parâmetros!$B$78,""))</f>
        <v/>
      </c>
      <c r="W102" s="18">
        <f>IF($B102="","",IF(ISNUMBER(R102),IF(Parâmetros!$B$64=2,R102*Parâmetros!$B$66,Parâmetros!$B$65*(R102-M102-R102*(Parâmetros!$B$61+N102+Parâmetros!$B$78))),""))</f>
        <v/>
      </c>
      <c r="X102" s="11">
        <f>IF($B102="","",IF(ISNUMBER(R102),R102-M102-T102-U102-V102-W102,""))</f>
        <v/>
      </c>
      <c r="Y102" s="19">
        <f>IF($B102="","",IF(AND(ISNUMBER(R102),R102&gt;0),X102/R102,""))</f>
        <v/>
      </c>
      <c r="Z102" s="18">
        <f>IF($B102="","",IF(AND(ISNUMBER(R102),ISNUMBER(G102)),R102-G102,""))</f>
        <v/>
      </c>
      <c r="AA102" s="20">
        <f>IF($B102="","",IF(NOT(ISNUMBER(R102)),"Percentuais ≥ 100%",IF(N(D102)=0,"Sem tempo",IF(J102=0,"Sem materiais",""))))</f>
        <v/>
      </c>
    </row>
    <row r="103">
      <c r="A103" s="7" t="n"/>
      <c r="B103" s="7" t="n"/>
      <c r="C103" s="7" t="n"/>
      <c r="D103" s="7" t="n"/>
      <c r="E103" s="8" t="n"/>
      <c r="F103" s="8" t="n"/>
      <c r="G103" s="8" t="n"/>
      <c r="H103" s="13" t="n"/>
      <c r="I103" s="13" t="n"/>
      <c r="J103" s="18">
        <f>IF($B103="","",SUMIFS(Itens!$E$2:$E$158,Itens!$A$2:$A$158,$B103)+N(F103))</f>
        <v/>
      </c>
      <c r="K103" s="18">
        <f>IF($B103="","",N(D103)/60*Parâmetros!$B$57)</f>
        <v/>
      </c>
      <c r="L103" s="18">
        <f>IF($B103="","",N(D103)/60*Parâmetros!$B$60)</f>
        <v/>
      </c>
      <c r="M103" s="11">
        <f>IF($B103="","",J103+N(E103)+K103+L103)</f>
        <v/>
      </c>
      <c r="N103" s="19">
        <f>IF($B103="","",IF(H103="",Parâmetros!$B$62,H103))</f>
        <v/>
      </c>
      <c r="O103" s="19">
        <f>IF($B103="","",IF(I103="",Parâmetros!$B$63,I103))</f>
        <v/>
      </c>
      <c r="P103" s="18">
        <f>IF($B103="","",IF(1-(Parâmetros!$B$61+N103+Parâmetros!$B$78)-Parâmetros!$B$66-O103&lt;=0,"ERRO",M103/(1-(Parâmetros!$B$61+N103+Parâmetros!$B$78)-Parâmetros!$B$66-O103)))</f>
        <v/>
      </c>
      <c r="Q103" s="18">
        <f>IF($B103="","",IF((1-Parâmetros!$B$65)*(1-(Parâmetros!$B$61+N103+Parâmetros!$B$78))-O103&lt;=0,"ERRO",(1-Parâmetros!$B$65)*M103/((1-Parâmetros!$B$65)*(1-(Parâmetros!$B$61+N103+Parâmetros!$B$78))-O103)))</f>
        <v/>
      </c>
      <c r="R103" s="11">
        <f>IF($B103="","",IF(Parâmetros!$B$64=2,P103,Q103))</f>
        <v/>
      </c>
      <c r="S103" s="18">
        <f>IF($B103="","",IF(Parâmetros!$B$64=2,IF(1-(Parâmetros!$B$61+N103+Parâmetros!$B$78)-Parâmetros!$B$66&lt;=0,"ERRO",M103/(1-(Parâmetros!$B$61+N103+Parâmetros!$B$78)-Parâmetros!$B$66)),IF((1-Parâmetros!$B$65)*(1-(Parâmetros!$B$61+N103+Parâmetros!$B$78))&lt;=0,"ERRO",(1-Parâmetros!$B$65)*M103/((1-Parâmetros!$B$65)*(1-(Parâmetros!$B$61+N103+Parâmetros!$B$78))))))</f>
        <v/>
      </c>
      <c r="T103" s="18">
        <f>IF($B103="","",IF(ISNUMBER(R103),R103*Parâmetros!$B$61,""))</f>
        <v/>
      </c>
      <c r="U103" s="18">
        <f>IF($B103="","",IF(ISNUMBER(R103),R103*N103,""))</f>
        <v/>
      </c>
      <c r="V103" s="18">
        <f>IF($B103="","",IF(ISNUMBER(R103),R103*Parâmetros!$B$78,""))</f>
        <v/>
      </c>
      <c r="W103" s="18">
        <f>IF($B103="","",IF(ISNUMBER(R103),IF(Parâmetros!$B$64=2,R103*Parâmetros!$B$66,Parâmetros!$B$65*(R103-M103-R103*(Parâmetros!$B$61+N103+Parâmetros!$B$78))),""))</f>
        <v/>
      </c>
      <c r="X103" s="11">
        <f>IF($B103="","",IF(ISNUMBER(R103),R103-M103-T103-U103-V103-W103,""))</f>
        <v/>
      </c>
      <c r="Y103" s="19">
        <f>IF($B103="","",IF(AND(ISNUMBER(R103),R103&gt;0),X103/R103,""))</f>
        <v/>
      </c>
      <c r="Z103" s="18">
        <f>IF($B103="","",IF(AND(ISNUMBER(R103),ISNUMBER(G103)),R103-G103,""))</f>
        <v/>
      </c>
      <c r="AA103" s="20">
        <f>IF($B103="","",IF(NOT(ISNUMBER(R103)),"Percentuais ≥ 100%",IF(N(D103)=0,"Sem tempo",IF(J103=0,"Sem materiais",""))))</f>
        <v/>
      </c>
    </row>
    <row r="104">
      <c r="A104" s="7" t="n"/>
      <c r="B104" s="7" t="n"/>
      <c r="C104" s="7" t="n"/>
      <c r="D104" s="7" t="n"/>
      <c r="E104" s="8" t="n"/>
      <c r="F104" s="8" t="n"/>
      <c r="G104" s="8" t="n"/>
      <c r="H104" s="13" t="n"/>
      <c r="I104" s="13" t="n"/>
      <c r="J104" s="18">
        <f>IF($B104="","",SUMIFS(Itens!$E$2:$E$158,Itens!$A$2:$A$158,$B104)+N(F104))</f>
        <v/>
      </c>
      <c r="K104" s="18">
        <f>IF($B104="","",N(D104)/60*Parâmetros!$B$57)</f>
        <v/>
      </c>
      <c r="L104" s="18">
        <f>IF($B104="","",N(D104)/60*Parâmetros!$B$60)</f>
        <v/>
      </c>
      <c r="M104" s="11">
        <f>IF($B104="","",J104+N(E104)+K104+L104)</f>
        <v/>
      </c>
      <c r="N104" s="19">
        <f>IF($B104="","",IF(H104="",Parâmetros!$B$62,H104))</f>
        <v/>
      </c>
      <c r="O104" s="19">
        <f>IF($B104="","",IF(I104="",Parâmetros!$B$63,I104))</f>
        <v/>
      </c>
      <c r="P104" s="18">
        <f>IF($B104="","",IF(1-(Parâmetros!$B$61+N104+Parâmetros!$B$78)-Parâmetros!$B$66-O104&lt;=0,"ERRO",M104/(1-(Parâmetros!$B$61+N104+Parâmetros!$B$78)-Parâmetros!$B$66-O104)))</f>
        <v/>
      </c>
      <c r="Q104" s="18">
        <f>IF($B104="","",IF((1-Parâmetros!$B$65)*(1-(Parâmetros!$B$61+N104+Parâmetros!$B$78))-O104&lt;=0,"ERRO",(1-Parâmetros!$B$65)*M104/((1-Parâmetros!$B$65)*(1-(Parâmetros!$B$61+N104+Parâmetros!$B$78))-O104)))</f>
        <v/>
      </c>
      <c r="R104" s="11">
        <f>IF($B104="","",IF(Parâmetros!$B$64=2,P104,Q104))</f>
        <v/>
      </c>
      <c r="S104" s="18">
        <f>IF($B104="","",IF(Parâmetros!$B$64=2,IF(1-(Parâmetros!$B$61+N104+Parâmetros!$B$78)-Parâmetros!$B$66&lt;=0,"ERRO",M104/(1-(Parâmetros!$B$61+N104+Parâmetros!$B$78)-Parâmetros!$B$66)),IF((1-Parâmetros!$B$65)*(1-(Parâmetros!$B$61+N104+Parâmetros!$B$78))&lt;=0,"ERRO",(1-Parâmetros!$B$65)*M104/((1-Parâmetros!$B$65)*(1-(Parâmetros!$B$61+N104+Parâmetros!$B$78))))))</f>
        <v/>
      </c>
      <c r="T104" s="18">
        <f>IF($B104="","",IF(ISNUMBER(R104),R104*Parâmetros!$B$61,""))</f>
        <v/>
      </c>
      <c r="U104" s="18">
        <f>IF($B104="","",IF(ISNUMBER(R104),R104*N104,""))</f>
        <v/>
      </c>
      <c r="V104" s="18">
        <f>IF($B104="","",IF(ISNUMBER(R104),R104*Parâmetros!$B$78,""))</f>
        <v/>
      </c>
      <c r="W104" s="18">
        <f>IF($B104="","",IF(ISNUMBER(R104),IF(Parâmetros!$B$64=2,R104*Parâmetros!$B$66,Parâmetros!$B$65*(R104-M104-R104*(Parâmetros!$B$61+N104+Parâmetros!$B$78))),""))</f>
        <v/>
      </c>
      <c r="X104" s="11">
        <f>IF($B104="","",IF(ISNUMBER(R104),R104-M104-T104-U104-V104-W104,""))</f>
        <v/>
      </c>
      <c r="Y104" s="19">
        <f>IF($B104="","",IF(AND(ISNUMBER(R104),R104&gt;0),X104/R104,""))</f>
        <v/>
      </c>
      <c r="Z104" s="18">
        <f>IF($B104="","",IF(AND(ISNUMBER(R104),ISNUMBER(G104)),R104-G104,""))</f>
        <v/>
      </c>
      <c r="AA104" s="20">
        <f>IF($B104="","",IF(NOT(ISNUMBER(R104)),"Percentuais ≥ 100%",IF(N(D104)=0,"Sem tempo",IF(J104=0,"Sem materiais",""))))</f>
        <v/>
      </c>
    </row>
    <row r="105">
      <c r="A105" s="7" t="n"/>
      <c r="B105" s="7" t="n"/>
      <c r="C105" s="7" t="n"/>
      <c r="D105" s="7" t="n"/>
      <c r="E105" s="8" t="n"/>
      <c r="F105" s="8" t="n"/>
      <c r="G105" s="8" t="n"/>
      <c r="H105" s="13" t="n"/>
      <c r="I105" s="13" t="n"/>
      <c r="J105" s="18">
        <f>IF($B105="","",SUMIFS(Itens!$E$2:$E$158,Itens!$A$2:$A$158,$B105)+N(F105))</f>
        <v/>
      </c>
      <c r="K105" s="18">
        <f>IF($B105="","",N(D105)/60*Parâmetros!$B$57)</f>
        <v/>
      </c>
      <c r="L105" s="18">
        <f>IF($B105="","",N(D105)/60*Parâmetros!$B$60)</f>
        <v/>
      </c>
      <c r="M105" s="11">
        <f>IF($B105="","",J105+N(E105)+K105+L105)</f>
        <v/>
      </c>
      <c r="N105" s="19">
        <f>IF($B105="","",IF(H105="",Parâmetros!$B$62,H105))</f>
        <v/>
      </c>
      <c r="O105" s="19">
        <f>IF($B105="","",IF(I105="",Parâmetros!$B$63,I105))</f>
        <v/>
      </c>
      <c r="P105" s="18">
        <f>IF($B105="","",IF(1-(Parâmetros!$B$61+N105+Parâmetros!$B$78)-Parâmetros!$B$66-O105&lt;=0,"ERRO",M105/(1-(Parâmetros!$B$61+N105+Parâmetros!$B$78)-Parâmetros!$B$66-O105)))</f>
        <v/>
      </c>
      <c r="Q105" s="18">
        <f>IF($B105="","",IF((1-Parâmetros!$B$65)*(1-(Parâmetros!$B$61+N105+Parâmetros!$B$78))-O105&lt;=0,"ERRO",(1-Parâmetros!$B$65)*M105/((1-Parâmetros!$B$65)*(1-(Parâmetros!$B$61+N105+Parâmetros!$B$78))-O105)))</f>
        <v/>
      </c>
      <c r="R105" s="11">
        <f>IF($B105="","",IF(Parâmetros!$B$64=2,P105,Q105))</f>
        <v/>
      </c>
      <c r="S105" s="18">
        <f>IF($B105="","",IF(Parâmetros!$B$64=2,IF(1-(Parâmetros!$B$61+N105+Parâmetros!$B$78)-Parâmetros!$B$66&lt;=0,"ERRO",M105/(1-(Parâmetros!$B$61+N105+Parâmetros!$B$78)-Parâmetros!$B$66)),IF((1-Parâmetros!$B$65)*(1-(Parâmetros!$B$61+N105+Parâmetros!$B$78))&lt;=0,"ERRO",(1-Parâmetros!$B$65)*M105/((1-Parâmetros!$B$65)*(1-(Parâmetros!$B$61+N105+Parâmetros!$B$78))))))</f>
        <v/>
      </c>
      <c r="T105" s="18">
        <f>IF($B105="","",IF(ISNUMBER(R105),R105*Parâmetros!$B$61,""))</f>
        <v/>
      </c>
      <c r="U105" s="18">
        <f>IF($B105="","",IF(ISNUMBER(R105),R105*N105,""))</f>
        <v/>
      </c>
      <c r="V105" s="18">
        <f>IF($B105="","",IF(ISNUMBER(R105),R105*Parâmetros!$B$78,""))</f>
        <v/>
      </c>
      <c r="W105" s="18">
        <f>IF($B105="","",IF(ISNUMBER(R105),IF(Parâmetros!$B$64=2,R105*Parâmetros!$B$66,Parâmetros!$B$65*(R105-M105-R105*(Parâmetros!$B$61+N105+Parâmetros!$B$78))),""))</f>
        <v/>
      </c>
      <c r="X105" s="11">
        <f>IF($B105="","",IF(ISNUMBER(R105),R105-M105-T105-U105-V105-W105,""))</f>
        <v/>
      </c>
      <c r="Y105" s="19">
        <f>IF($B105="","",IF(AND(ISNUMBER(R105),R105&gt;0),X105/R105,""))</f>
        <v/>
      </c>
      <c r="Z105" s="18">
        <f>IF($B105="","",IF(AND(ISNUMBER(R105),ISNUMBER(G105)),R105-G105,""))</f>
        <v/>
      </c>
      <c r="AA105" s="20">
        <f>IF($B105="","",IF(NOT(ISNUMBER(R105)),"Percentuais ≥ 100%",IF(N(D105)=0,"Sem tempo",IF(J105=0,"Sem materiais",""))))</f>
        <v/>
      </c>
    </row>
    <row r="106">
      <c r="A106" s="7" t="n"/>
      <c r="B106" s="7" t="n"/>
      <c r="C106" s="7" t="n"/>
      <c r="D106" s="7" t="n"/>
      <c r="E106" s="8" t="n"/>
      <c r="F106" s="8" t="n"/>
      <c r="G106" s="8" t="n"/>
      <c r="H106" s="13" t="n"/>
      <c r="I106" s="13" t="n"/>
      <c r="J106" s="18">
        <f>IF($B106="","",SUMIFS(Itens!$E$2:$E$158,Itens!$A$2:$A$158,$B106)+N(F106))</f>
        <v/>
      </c>
      <c r="K106" s="18">
        <f>IF($B106="","",N(D106)/60*Parâmetros!$B$57)</f>
        <v/>
      </c>
      <c r="L106" s="18">
        <f>IF($B106="","",N(D106)/60*Parâmetros!$B$60)</f>
        <v/>
      </c>
      <c r="M106" s="11">
        <f>IF($B106="","",J106+N(E106)+K106+L106)</f>
        <v/>
      </c>
      <c r="N106" s="19">
        <f>IF($B106="","",IF(H106="",Parâmetros!$B$62,H106))</f>
        <v/>
      </c>
      <c r="O106" s="19">
        <f>IF($B106="","",IF(I106="",Parâmetros!$B$63,I106))</f>
        <v/>
      </c>
      <c r="P106" s="18">
        <f>IF($B106="","",IF(1-(Parâmetros!$B$61+N106+Parâmetros!$B$78)-Parâmetros!$B$66-O106&lt;=0,"ERRO",M106/(1-(Parâmetros!$B$61+N106+Parâmetros!$B$78)-Parâmetros!$B$66-O106)))</f>
        <v/>
      </c>
      <c r="Q106" s="18">
        <f>IF($B106="","",IF((1-Parâmetros!$B$65)*(1-(Parâmetros!$B$61+N106+Parâmetros!$B$78))-O106&lt;=0,"ERRO",(1-Parâmetros!$B$65)*M106/((1-Parâmetros!$B$65)*(1-(Parâmetros!$B$61+N106+Parâmetros!$B$78))-O106)))</f>
        <v/>
      </c>
      <c r="R106" s="11">
        <f>IF($B106="","",IF(Parâmetros!$B$64=2,P106,Q106))</f>
        <v/>
      </c>
      <c r="S106" s="18">
        <f>IF($B106="","",IF(Parâmetros!$B$64=2,IF(1-(Parâmetros!$B$61+N106+Parâmetros!$B$78)-Parâmetros!$B$66&lt;=0,"ERRO",M106/(1-(Parâmetros!$B$61+N106+Parâmetros!$B$78)-Parâmetros!$B$66)),IF((1-Parâmetros!$B$65)*(1-(Parâmetros!$B$61+N106+Parâmetros!$B$78))&lt;=0,"ERRO",(1-Parâmetros!$B$65)*M106/((1-Parâmetros!$B$65)*(1-(Parâmetros!$B$61+N106+Parâmetros!$B$78))))))</f>
        <v/>
      </c>
      <c r="T106" s="18">
        <f>IF($B106="","",IF(ISNUMBER(R106),R106*Parâmetros!$B$61,""))</f>
        <v/>
      </c>
      <c r="U106" s="18">
        <f>IF($B106="","",IF(ISNUMBER(R106),R106*N106,""))</f>
        <v/>
      </c>
      <c r="V106" s="18">
        <f>IF($B106="","",IF(ISNUMBER(R106),R106*Parâmetros!$B$78,""))</f>
        <v/>
      </c>
      <c r="W106" s="18">
        <f>IF($B106="","",IF(ISNUMBER(R106),IF(Parâmetros!$B$64=2,R106*Parâmetros!$B$66,Parâmetros!$B$65*(R106-M106-R106*(Parâmetros!$B$61+N106+Parâmetros!$B$78))),""))</f>
        <v/>
      </c>
      <c r="X106" s="11">
        <f>IF($B106="","",IF(ISNUMBER(R106),R106-M106-T106-U106-V106-W106,""))</f>
        <v/>
      </c>
      <c r="Y106" s="19">
        <f>IF($B106="","",IF(AND(ISNUMBER(R106),R106&gt;0),X106/R106,""))</f>
        <v/>
      </c>
      <c r="Z106" s="18">
        <f>IF($B106="","",IF(AND(ISNUMBER(R106),ISNUMBER(G106)),R106-G106,""))</f>
        <v/>
      </c>
      <c r="AA106" s="20">
        <f>IF($B106="","",IF(NOT(ISNUMBER(R106)),"Percentuais ≥ 100%",IF(N(D106)=0,"Sem tempo",IF(J106=0,"Sem materiais",""))))</f>
        <v/>
      </c>
    </row>
    <row r="107">
      <c r="A107" s="7" t="n"/>
      <c r="B107" s="7" t="n"/>
      <c r="C107" s="7" t="n"/>
      <c r="D107" s="7" t="n"/>
      <c r="E107" s="8" t="n"/>
      <c r="F107" s="8" t="n"/>
      <c r="G107" s="8" t="n"/>
      <c r="H107" s="13" t="n"/>
      <c r="I107" s="13" t="n"/>
      <c r="J107" s="18">
        <f>IF($B107="","",SUMIFS(Itens!$E$2:$E$158,Itens!$A$2:$A$158,$B107)+N(F107))</f>
        <v/>
      </c>
      <c r="K107" s="18">
        <f>IF($B107="","",N(D107)/60*Parâmetros!$B$57)</f>
        <v/>
      </c>
      <c r="L107" s="18">
        <f>IF($B107="","",N(D107)/60*Parâmetros!$B$60)</f>
        <v/>
      </c>
      <c r="M107" s="11">
        <f>IF($B107="","",J107+N(E107)+K107+L107)</f>
        <v/>
      </c>
      <c r="N107" s="19">
        <f>IF($B107="","",IF(H107="",Parâmetros!$B$62,H107))</f>
        <v/>
      </c>
      <c r="O107" s="19">
        <f>IF($B107="","",IF(I107="",Parâmetros!$B$63,I107))</f>
        <v/>
      </c>
      <c r="P107" s="18">
        <f>IF($B107="","",IF(1-(Parâmetros!$B$61+N107+Parâmetros!$B$78)-Parâmetros!$B$66-O107&lt;=0,"ERRO",M107/(1-(Parâmetros!$B$61+N107+Parâmetros!$B$78)-Parâmetros!$B$66-O107)))</f>
        <v/>
      </c>
      <c r="Q107" s="18">
        <f>IF($B107="","",IF((1-Parâmetros!$B$65)*(1-(Parâmetros!$B$61+N107+Parâmetros!$B$78))-O107&lt;=0,"ERRO",(1-Parâmetros!$B$65)*M107/((1-Parâmetros!$B$65)*(1-(Parâmetros!$B$61+N107+Parâmetros!$B$78))-O107)))</f>
        <v/>
      </c>
      <c r="R107" s="11">
        <f>IF($B107="","",IF(Parâmetros!$B$64=2,P107,Q107))</f>
        <v/>
      </c>
      <c r="S107" s="18">
        <f>IF($B107="","",IF(Parâmetros!$B$64=2,IF(1-(Parâmetros!$B$61+N107+Parâmetros!$B$78)-Parâmetros!$B$66&lt;=0,"ERRO",M107/(1-(Parâmetros!$B$61+N107+Parâmetros!$B$78)-Parâmetros!$B$66)),IF((1-Parâmetros!$B$65)*(1-(Parâmetros!$B$61+N107+Parâmetros!$B$78))&lt;=0,"ERRO",(1-Parâmetros!$B$65)*M107/((1-Parâmetros!$B$65)*(1-(Parâmetros!$B$61+N107+Parâmetros!$B$78))))))</f>
        <v/>
      </c>
      <c r="T107" s="18">
        <f>IF($B107="","",IF(ISNUMBER(R107),R107*Parâmetros!$B$61,""))</f>
        <v/>
      </c>
      <c r="U107" s="18">
        <f>IF($B107="","",IF(ISNUMBER(R107),R107*N107,""))</f>
        <v/>
      </c>
      <c r="V107" s="18">
        <f>IF($B107="","",IF(ISNUMBER(R107),R107*Parâmetros!$B$78,""))</f>
        <v/>
      </c>
      <c r="W107" s="18">
        <f>IF($B107="","",IF(ISNUMBER(R107),IF(Parâmetros!$B$64=2,R107*Parâmetros!$B$66,Parâmetros!$B$65*(R107-M107-R107*(Parâmetros!$B$61+N107+Parâmetros!$B$78))),""))</f>
        <v/>
      </c>
      <c r="X107" s="11">
        <f>IF($B107="","",IF(ISNUMBER(R107),R107-M107-T107-U107-V107-W107,""))</f>
        <v/>
      </c>
      <c r="Y107" s="19">
        <f>IF($B107="","",IF(AND(ISNUMBER(R107),R107&gt;0),X107/R107,""))</f>
        <v/>
      </c>
      <c r="Z107" s="18">
        <f>IF($B107="","",IF(AND(ISNUMBER(R107),ISNUMBER(G107)),R107-G107,""))</f>
        <v/>
      </c>
      <c r="AA107" s="20">
        <f>IF($B107="","",IF(NOT(ISNUMBER(R107)),"Percentuais ≥ 100%",IF(N(D107)=0,"Sem tempo",IF(J107=0,"Sem materiais",""))))</f>
        <v/>
      </c>
    </row>
    <row r="108">
      <c r="A108" s="7" t="n"/>
      <c r="B108" s="7" t="n"/>
      <c r="C108" s="7" t="n"/>
      <c r="D108" s="7" t="n"/>
      <c r="E108" s="8" t="n"/>
      <c r="F108" s="8" t="n"/>
      <c r="G108" s="8" t="n"/>
      <c r="H108" s="13" t="n"/>
      <c r="I108" s="13" t="n"/>
      <c r="J108" s="18">
        <f>IF($B108="","",SUMIFS(Itens!$E$2:$E$158,Itens!$A$2:$A$158,$B108)+N(F108))</f>
        <v/>
      </c>
      <c r="K108" s="18">
        <f>IF($B108="","",N(D108)/60*Parâmetros!$B$57)</f>
        <v/>
      </c>
      <c r="L108" s="18">
        <f>IF($B108="","",N(D108)/60*Parâmetros!$B$60)</f>
        <v/>
      </c>
      <c r="M108" s="11">
        <f>IF($B108="","",J108+N(E108)+K108+L108)</f>
        <v/>
      </c>
      <c r="N108" s="19">
        <f>IF($B108="","",IF(H108="",Parâmetros!$B$62,H108))</f>
        <v/>
      </c>
      <c r="O108" s="19">
        <f>IF($B108="","",IF(I108="",Parâmetros!$B$63,I108))</f>
        <v/>
      </c>
      <c r="P108" s="18">
        <f>IF($B108="","",IF(1-(Parâmetros!$B$61+N108+Parâmetros!$B$78)-Parâmetros!$B$66-O108&lt;=0,"ERRO",M108/(1-(Parâmetros!$B$61+N108+Parâmetros!$B$78)-Parâmetros!$B$66-O108)))</f>
        <v/>
      </c>
      <c r="Q108" s="18">
        <f>IF($B108="","",IF((1-Parâmetros!$B$65)*(1-(Parâmetros!$B$61+N108+Parâmetros!$B$78))-O108&lt;=0,"ERRO",(1-Parâmetros!$B$65)*M108/((1-Parâmetros!$B$65)*(1-(Parâmetros!$B$61+N108+Parâmetros!$B$78))-O108)))</f>
        <v/>
      </c>
      <c r="R108" s="11">
        <f>IF($B108="","",IF(Parâmetros!$B$64=2,P108,Q108))</f>
        <v/>
      </c>
      <c r="S108" s="18">
        <f>IF($B108="","",IF(Parâmetros!$B$64=2,IF(1-(Parâmetros!$B$61+N108+Parâmetros!$B$78)-Parâmetros!$B$66&lt;=0,"ERRO",M108/(1-(Parâmetros!$B$61+N108+Parâmetros!$B$78)-Parâmetros!$B$66)),IF((1-Parâmetros!$B$65)*(1-(Parâmetros!$B$61+N108+Parâmetros!$B$78))&lt;=0,"ERRO",(1-Parâmetros!$B$65)*M108/((1-Parâmetros!$B$65)*(1-(Parâmetros!$B$61+N108+Parâmetros!$B$78))))))</f>
        <v/>
      </c>
      <c r="T108" s="18">
        <f>IF($B108="","",IF(ISNUMBER(R108),R108*Parâmetros!$B$61,""))</f>
        <v/>
      </c>
      <c r="U108" s="18">
        <f>IF($B108="","",IF(ISNUMBER(R108),R108*N108,""))</f>
        <v/>
      </c>
      <c r="V108" s="18">
        <f>IF($B108="","",IF(ISNUMBER(R108),R108*Parâmetros!$B$78,""))</f>
        <v/>
      </c>
      <c r="W108" s="18">
        <f>IF($B108="","",IF(ISNUMBER(R108),IF(Parâmetros!$B$64=2,R108*Parâmetros!$B$66,Parâmetros!$B$65*(R108-M108-R108*(Parâmetros!$B$61+N108+Parâmetros!$B$78))),""))</f>
        <v/>
      </c>
      <c r="X108" s="11">
        <f>IF($B108="","",IF(ISNUMBER(R108),R108-M108-T108-U108-V108-W108,""))</f>
        <v/>
      </c>
      <c r="Y108" s="19">
        <f>IF($B108="","",IF(AND(ISNUMBER(R108),R108&gt;0),X108/R108,""))</f>
        <v/>
      </c>
      <c r="Z108" s="18">
        <f>IF($B108="","",IF(AND(ISNUMBER(R108),ISNUMBER(G108)),R108-G108,""))</f>
        <v/>
      </c>
      <c r="AA108" s="20">
        <f>IF($B108="","",IF(NOT(ISNUMBER(R108)),"Percentuais ≥ 100%",IF(N(D108)=0,"Sem tempo",IF(J108=0,"Sem materiais",""))))</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2026-10-14T02:49:37Z</dcterms:created>
  <dcterms:modified xmlns:dcterms="http://purl.org/dc/terms/" xmlns:xsi="http://www.w3.org/2001/XMLSchema-instance" xsi:type="dcterms:W3CDTF">2026-10-14T02:49:37Z</dcterms:modified>
</cp:coreProperties>
</file>